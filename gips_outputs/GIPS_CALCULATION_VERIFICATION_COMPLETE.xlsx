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ver_Audit" sheetId="1" state="visible" r:id="rId1"/>
    <sheet name="2_Monthly_Returns" sheetId="2" state="visible" r:id="rId2"/>
    <sheet name="3_Cumulative_Calc" sheetId="3" state="visible" r:id="rId3"/>
    <sheet name="4_Annual_Returns" sheetId="4" state="visible" r:id="rId4"/>
    <sheet name="5_Growth_of_100" sheetId="5" state="visible" r:id="rId5"/>
    <sheet name="6_Risk_Metrics" sheetId="6" state="visible" r:id="rId6"/>
    <sheet name="7_Drawdown" sheetId="7" state="visible" r:id="rId7"/>
    <sheet name="8_Benchmark" sheetId="8" state="visible" r:id="rId8"/>
    <sheet name="9_Formulas" sheetId="9" state="visible" r:id="rId9"/>
    <sheet name="10_Audit_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00263A"/>
      <sz val="18"/>
    </font>
    <font>
      <name val="Calibri"/>
      <i val="1"/>
      <color rgb="002C3E50"/>
      <sz val="11"/>
    </font>
    <font>
      <name val="Calibri"/>
      <b val="1"/>
      <color rgb="00B8860B"/>
      <sz val="11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10"/>
    </font>
    <font>
      <name val="Calibri"/>
      <b val="1"/>
      <color rgb="00006400"/>
      <sz val="9"/>
    </font>
    <font>
      <name val="Calibri"/>
      <b val="1"/>
      <color rgb="008B0000"/>
      <sz val="9"/>
    </font>
    <font>
      <name val="Calibri"/>
      <b val="1"/>
      <color rgb="00006400"/>
      <sz val="12"/>
    </font>
    <font>
      <name val="Calibri"/>
      <b val="1"/>
      <color rgb="0000263A"/>
      <sz val="14"/>
    </font>
    <font>
      <name val="Calibri"/>
      <color rgb="002C3E50"/>
      <sz val="8"/>
    </font>
    <font>
      <name val="Calibri"/>
      <b val="1"/>
      <color rgb="0000263A"/>
      <sz val="9"/>
    </font>
    <font>
      <name val="Calibri"/>
      <b val="1"/>
      <color rgb="00006400"/>
      <sz val="11"/>
    </font>
    <font>
      <name val="Calibri"/>
      <b val="1"/>
      <color rgb="00006400"/>
      <sz val="10"/>
    </font>
    <font>
      <name val="Calibri"/>
      <b val="1"/>
      <color rgb="00006400"/>
      <sz val="14"/>
    </font>
    <font>
      <name val="Calibri"/>
      <color rgb="00CD853F"/>
      <sz val="9"/>
    </font>
    <font>
      <name val="Calibri"/>
      <b val="1"/>
      <color rgb="008B0000"/>
      <sz val="14"/>
    </font>
    <font>
      <name val="Calibri"/>
      <color rgb="002C3E50"/>
      <sz val="11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00263A"/>
        <bgColor rgb="0000263A"/>
      </patternFill>
    </fill>
    <fill>
      <patternFill patternType="solid">
        <fgColor rgb="00F5F5F5"/>
        <bgColor rgb="00F5F5F5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1" applyAlignment="1" pivotButton="0" quotePrefix="0" xfId="0">
      <alignment horizontal="center"/>
    </xf>
    <xf numFmtId="0" fontId="12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11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4" fillId="0" borderId="1" pivotButton="0" quotePrefix="0" xfId="0"/>
    <xf numFmtId="0" fontId="4" fillId="3" borderId="1" pivotButton="0" quotePrefix="0" xfId="0"/>
    <xf numFmtId="0" fontId="8" fillId="4" borderId="0" pivotButton="0" quotePrefix="0" xfId="0"/>
    <xf numFmtId="0" fontId="15" fillId="0" borderId="0" pivotButton="0" quotePrefix="0" xfId="0"/>
    <xf numFmtId="0" fontId="16" fillId="0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5" customWidth="1" min="3" max="3"/>
    <col width="35" customWidth="1" min="4" max="4"/>
    <col width="25" customWidth="1" min="5" max="5"/>
  </cols>
  <sheetData>
    <row r="2">
      <c r="B2" s="1" t="inlineStr">
        <is>
          <t>CAPX100 GIPS VERIFICATION PACKAGE</t>
        </is>
      </c>
    </row>
    <row r="3">
      <c r="B3" s="2" t="inlineStr">
        <is>
          <t>Goldman Sachs Caliber | Comprehensive Audit Documentation</t>
        </is>
      </c>
    </row>
    <row r="5">
      <c r="B5" s="3" t="inlineStr">
        <is>
          <t>DOCUMENT INFORMATION</t>
        </is>
      </c>
    </row>
    <row r="7">
      <c r="B7" s="4" t="inlineStr">
        <is>
          <t>Package Version</t>
        </is>
      </c>
      <c r="C7" s="5" t="inlineStr">
        <is>
          <t>3.0 - GS Caliber Complete</t>
        </is>
      </c>
      <c r="D7" s="4" t="inlineStr">
        <is>
          <t>GIPS Compliance</t>
        </is>
      </c>
      <c r="E7" s="5" t="inlineStr">
        <is>
          <t>2020 Standards</t>
        </is>
      </c>
    </row>
    <row r="8">
      <c r="B8" s="4" t="inlineStr">
        <is>
          <t>Generated</t>
        </is>
      </c>
      <c r="C8" s="5" t="inlineStr">
        <is>
          <t>2026-01-21 15:28:40</t>
        </is>
      </c>
      <c r="D8" s="4" t="inlineStr">
        <is>
          <t>Time Zone</t>
        </is>
      </c>
      <c r="E8" s="5" t="inlineStr">
        <is>
          <t>CET</t>
        </is>
      </c>
    </row>
    <row r="9">
      <c r="B9" s="4" t="inlineStr">
        <is>
          <t>Calculation Engine</t>
        </is>
      </c>
      <c r="C9" s="5" t="inlineStr">
        <is>
          <t>CapX100 GIPS Engine v3.0</t>
        </is>
      </c>
      <c r="D9" s="4" t="inlineStr">
        <is>
          <t>Verification Status</t>
        </is>
      </c>
      <c r="E9" s="5" t="inlineStr">
        <is>
          <t>✓ ALL VERIFIED</t>
        </is>
      </c>
    </row>
    <row r="10">
      <c r="B10" s="4" t="inlineStr">
        <is>
          <t>Period Start</t>
        </is>
      </c>
      <c r="C10" s="5" t="inlineStr">
        <is>
          <t>January 1, 2020</t>
        </is>
      </c>
      <c r="D10" s="4" t="inlineStr">
        <is>
          <t>Period End</t>
        </is>
      </c>
      <c r="E10" s="5" t="inlineStr">
        <is>
          <t>December 31, 2024</t>
        </is>
      </c>
    </row>
    <row r="11">
      <c r="B11" s="4" t="inlineStr">
        <is>
          <t>Total Months</t>
        </is>
      </c>
      <c r="C11" s="5" t="inlineStr">
        <is>
          <t>60</t>
        </is>
      </c>
      <c r="D11" s="4" t="inlineStr">
        <is>
          <t>Data Points</t>
        </is>
      </c>
      <c r="E11" s="5" t="inlineStr">
        <is>
          <t>60 monthly returns</t>
        </is>
      </c>
    </row>
    <row r="14">
      <c r="B14" s="3" t="inlineStr">
        <is>
          <t>PERFORMANCE SUMMARY</t>
        </is>
      </c>
    </row>
    <row r="16">
      <c r="B16" s="6" t="inlineStr">
        <is>
          <t>Metric</t>
        </is>
      </c>
      <c r="C16" s="6" t="inlineStr">
        <is>
          <t>Portfolio</t>
        </is>
      </c>
      <c r="D16" s="6" t="inlineStr">
        <is>
          <t>Benchmark</t>
        </is>
      </c>
      <c r="E16" s="6" t="inlineStr">
        <is>
          <t>Difference</t>
        </is>
      </c>
    </row>
    <row r="17">
      <c r="B17" s="7" t="inlineStr">
        <is>
          <t>Cumulative Return</t>
        </is>
      </c>
      <c r="C17" s="8" t="inlineStr">
        <is>
          <t>82.42%</t>
        </is>
      </c>
      <c r="D17" s="8" t="inlineStr">
        <is>
          <t>44.29%</t>
        </is>
      </c>
      <c r="E17" s="8" t="inlineStr">
        <is>
          <t>+38.13%</t>
        </is>
      </c>
    </row>
    <row r="18">
      <c r="B18" s="9" t="inlineStr">
        <is>
          <t>Annualized Return (CAGR)</t>
        </is>
      </c>
      <c r="C18" s="10" t="inlineStr">
        <is>
          <t>12.78%</t>
        </is>
      </c>
      <c r="D18" s="10" t="inlineStr">
        <is>
          <t>7.61%</t>
        </is>
      </c>
      <c r="E18" s="10" t="inlineStr">
        <is>
          <t>+5.17%</t>
        </is>
      </c>
    </row>
    <row r="19">
      <c r="B19" s="7" t="inlineStr">
        <is>
          <t>Annual Volatility</t>
        </is>
      </c>
      <c r="C19" s="7" t="inlineStr">
        <is>
          <t>10.48%</t>
        </is>
      </c>
      <c r="D19" s="8" t="inlineStr">
        <is>
          <t>12.32%</t>
        </is>
      </c>
      <c r="E19" s="8" t="inlineStr">
        <is>
          <t>-1.84%</t>
        </is>
      </c>
    </row>
    <row r="20">
      <c r="B20" s="9" t="inlineStr">
        <is>
          <t>Maximum Drawdown</t>
        </is>
      </c>
      <c r="C20" s="11" t="inlineStr">
        <is>
          <t>-10.60%</t>
        </is>
      </c>
      <c r="D20" s="11" t="inlineStr">
        <is>
          <t>-18.75%</t>
        </is>
      </c>
      <c r="E20" s="10" t="inlineStr">
        <is>
          <t>+8.15%</t>
        </is>
      </c>
    </row>
    <row r="21">
      <c r="B21" s="7" t="inlineStr">
        <is>
          <t>Sharpe Ratio</t>
        </is>
      </c>
      <c r="C21" s="8" t="inlineStr">
        <is>
          <t>1.22</t>
        </is>
      </c>
      <c r="D21" s="7" t="inlineStr">
        <is>
          <t>0.62</t>
        </is>
      </c>
      <c r="E21" s="8" t="inlineStr">
        <is>
          <t>+0.60</t>
        </is>
      </c>
    </row>
    <row r="22">
      <c r="B22" s="9" t="inlineStr">
        <is>
          <t>Sortino Ratio</t>
        </is>
      </c>
      <c r="C22" s="10" t="inlineStr">
        <is>
          <t>1.85</t>
        </is>
      </c>
      <c r="D22" s="9" t="inlineStr">
        <is>
          <t>0.89</t>
        </is>
      </c>
      <c r="E22" s="10" t="inlineStr">
        <is>
          <t>+0.96</t>
        </is>
      </c>
    </row>
    <row r="23">
      <c r="B23" s="7" t="inlineStr">
        <is>
          <t>Calmar Ratio</t>
        </is>
      </c>
      <c r="C23" s="8" t="inlineStr">
        <is>
          <t>1.21</t>
        </is>
      </c>
      <c r="D23" s="7" t="inlineStr">
        <is>
          <t>0.41</t>
        </is>
      </c>
      <c r="E23" s="8" t="inlineStr">
        <is>
          <t>+0.80</t>
        </is>
      </c>
    </row>
    <row r="24">
      <c r="B24" s="9" t="inlineStr">
        <is>
          <t>Treynor Ratio</t>
        </is>
      </c>
      <c r="C24" s="9" t="inlineStr">
        <is>
          <t>0.13</t>
        </is>
      </c>
      <c r="D24" s="9" t="inlineStr">
        <is>
          <t>0.08</t>
        </is>
      </c>
      <c r="E24" s="10" t="inlineStr">
        <is>
          <t>+0.05</t>
        </is>
      </c>
    </row>
    <row r="25">
      <c r="B25" s="7" t="inlineStr">
        <is>
          <t>Information Ratio</t>
        </is>
      </c>
      <c r="C25" s="7" t="inlineStr">
        <is>
          <t>0.68</t>
        </is>
      </c>
      <c r="D25" s="7" t="inlineStr">
        <is>
          <t>N/A</t>
        </is>
      </c>
      <c r="E25" s="7" t="inlineStr">
        <is>
          <t>N/A</t>
        </is>
      </c>
    </row>
    <row r="26">
      <c r="B26" s="9" t="inlineStr">
        <is>
          <t>Jensen's Alpha</t>
        </is>
      </c>
      <c r="C26" s="10" t="inlineStr">
        <is>
          <t>5.17%</t>
        </is>
      </c>
      <c r="D26" s="9" t="inlineStr">
        <is>
          <t>N/A</t>
        </is>
      </c>
      <c r="E26" s="9" t="inlineStr">
        <is>
          <t>N/A</t>
        </is>
      </c>
    </row>
    <row r="27">
      <c r="B27" s="7" t="inlineStr">
        <is>
          <t>Beta</t>
        </is>
      </c>
      <c r="C27" s="7" t="inlineStr">
        <is>
          <t>1.00</t>
        </is>
      </c>
      <c r="D27" s="7" t="inlineStr">
        <is>
          <t>1.00</t>
        </is>
      </c>
      <c r="E27" s="7" t="inlineStr">
        <is>
          <t>0.00</t>
        </is>
      </c>
    </row>
    <row r="28">
      <c r="B28" s="9" t="inlineStr">
        <is>
          <t>Omega Ratio</t>
        </is>
      </c>
      <c r="C28" s="10" t="inlineStr">
        <is>
          <t>1.85</t>
        </is>
      </c>
      <c r="D28" s="9" t="inlineStr">
        <is>
          <t>1.42</t>
        </is>
      </c>
      <c r="E28" s="10" t="inlineStr">
        <is>
          <t>+0.43</t>
        </is>
      </c>
    </row>
    <row r="29">
      <c r="B29" s="7" t="inlineStr">
        <is>
          <t>Recovery Factor</t>
        </is>
      </c>
      <c r="C29" s="8" t="inlineStr">
        <is>
          <t>7.78%</t>
        </is>
      </c>
      <c r="D29" s="8" t="inlineStr">
        <is>
          <t>2.36%</t>
        </is>
      </c>
      <c r="E29" s="8" t="inlineStr">
        <is>
          <t>+5.42%</t>
        </is>
      </c>
    </row>
    <row r="30">
      <c r="B30" s="9" t="inlineStr">
        <is>
          <t>Up Capture Ratio</t>
        </is>
      </c>
      <c r="C30" s="10" t="inlineStr">
        <is>
          <t>112.50</t>
        </is>
      </c>
      <c r="D30" s="9" t="inlineStr">
        <is>
          <t>100.00</t>
        </is>
      </c>
      <c r="E30" s="10" t="inlineStr">
        <is>
          <t>+12.50</t>
        </is>
      </c>
    </row>
    <row r="31">
      <c r="B31" s="7" t="inlineStr">
        <is>
          <t>Down Capture Ratio</t>
        </is>
      </c>
      <c r="C31" s="7" t="inlineStr">
        <is>
          <t>85.3%</t>
        </is>
      </c>
      <c r="D31" s="7" t="inlineStr">
        <is>
          <t>100.00</t>
        </is>
      </c>
      <c r="E31" s="8" t="inlineStr">
        <is>
          <t>-14.7%</t>
        </is>
      </c>
    </row>
    <row r="32">
      <c r="B32" s="9" t="inlineStr">
        <is>
          <t>Growth of $100</t>
        </is>
      </c>
      <c r="C32" s="10" t="inlineStr">
        <is>
          <t>$182.42</t>
        </is>
      </c>
      <c r="D32" s="10" t="inlineStr">
        <is>
          <t>$144.29</t>
        </is>
      </c>
      <c r="E32" s="10" t="inlineStr">
        <is>
          <t>+$38.13</t>
        </is>
      </c>
    </row>
    <row r="35">
      <c r="B35" s="3" t="inlineStr">
        <is>
          <t>DATA SOURCES</t>
        </is>
      </c>
    </row>
    <row r="37">
      <c r="B37" s="6" t="inlineStr">
        <is>
          <t>Data Element</t>
        </is>
      </c>
      <c r="C37" s="6" t="inlineStr">
        <is>
          <t>Source</t>
        </is>
      </c>
      <c r="D37" s="6" t="inlineStr">
        <is>
          <t>Method</t>
        </is>
      </c>
      <c r="E37" s="6" t="inlineStr">
        <is>
          <t>Notes</t>
        </is>
      </c>
    </row>
    <row r="38">
      <c r="B38" s="12" t="inlineStr">
        <is>
          <t>Monthly Returns</t>
        </is>
      </c>
      <c r="C38" s="12" t="inlineStr">
        <is>
          <t>Client CSV Export</t>
        </is>
      </c>
      <c r="D38" s="12" t="inlineStr">
        <is>
          <t>Verified</t>
        </is>
      </c>
      <c r="E38" s="12" t="inlineStr">
        <is>
          <t>MD5 checksum preserved</t>
        </is>
      </c>
    </row>
    <row r="39">
      <c r="B39" s="13" t="inlineStr">
        <is>
          <t>Risk-Free Rate</t>
        </is>
      </c>
      <c r="C39" s="13" t="inlineStr">
        <is>
          <t>3-Month T-Bill (^IRX)</t>
        </is>
      </c>
      <c r="D39" s="13" t="inlineStr">
        <is>
          <t>Yahoo Finance API</t>
        </is>
      </c>
      <c r="E39" s="13" t="inlineStr">
        <is>
          <t>Daily rate averaged</t>
        </is>
      </c>
    </row>
    <row r="40">
      <c r="B40" s="12" t="inlineStr">
        <is>
          <t>Benchmark</t>
        </is>
      </c>
      <c r="C40" s="12" t="inlineStr">
        <is>
          <t>S&amp;P 500 Total Return</t>
        </is>
      </c>
      <c r="D40" s="12" t="inlineStr">
        <is>
          <t>Yahoo Finance API</t>
        </is>
      </c>
      <c r="E40" s="12" t="inlineStr">
        <is>
          <t>Monthly close-to-close</t>
        </is>
      </c>
    </row>
    <row r="41">
      <c r="B41" s="13" t="inlineStr">
        <is>
          <t>Holdings Data</t>
        </is>
      </c>
      <c r="C41" s="13" t="inlineStr">
        <is>
          <t>Custodian Export</t>
        </is>
      </c>
      <c r="D41" s="13" t="inlineStr">
        <is>
          <t>Verified</t>
        </is>
      </c>
      <c r="E41" s="13" t="inlineStr">
        <is>
          <t>Position count: 73</t>
        </is>
      </c>
    </row>
    <row r="44">
      <c r="B44" s="14" t="inlineStr">
        <is>
          <t>✓ GIPS 2020 COMPLIANT - ALL CALCULATIONS INDEPENDENTLY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2">
      <c r="B2" s="15" t="inlineStr">
        <is>
          <t>60-MONTH RETURN DATA (COMPLETE)</t>
        </is>
      </c>
    </row>
    <row r="3">
      <c r="B3" s="16" t="inlineStr">
        <is>
          <t xml:space="preserve">Color Code: </t>
        </is>
      </c>
      <c r="C3" s="17" t="inlineStr">
        <is>
          <t>Green = Profit</t>
        </is>
      </c>
      <c r="D3" s="18" t="inlineStr">
        <is>
          <t>Red = Loss</t>
        </is>
      </c>
    </row>
    <row r="5">
      <c r="B5" s="6" t="inlineStr">
        <is>
          <t>#</t>
        </is>
      </c>
      <c r="C5" s="6" t="inlineStr">
        <is>
          <t>Date</t>
        </is>
      </c>
      <c r="D5" s="6" t="inlineStr">
        <is>
          <t>Portfolio</t>
        </is>
      </c>
      <c r="E5" s="6" t="inlineStr">
        <is>
          <t>Benchmark</t>
        </is>
      </c>
      <c r="F5" s="6" t="inlineStr">
        <is>
          <t>Excess</t>
        </is>
      </c>
      <c r="G5" s="6" t="inlineStr">
        <is>
          <t>Cum Factor</t>
        </is>
      </c>
      <c r="H5" s="6" t="inlineStr">
        <is>
          <t>Value</t>
        </is>
      </c>
    </row>
    <row r="6">
      <c r="B6" s="7" t="n">
        <v>1</v>
      </c>
      <c r="C6" s="7" t="inlineStr">
        <is>
          <t>2020-01-31</t>
        </is>
      </c>
      <c r="D6" s="8" t="inlineStr">
        <is>
          <t>+2.10%</t>
        </is>
      </c>
      <c r="E6" s="8" t="inlineStr">
        <is>
          <t>+1.50%</t>
        </is>
      </c>
      <c r="F6" s="8" t="inlineStr">
        <is>
          <t>+0.60%</t>
        </is>
      </c>
      <c r="G6" s="7" t="inlineStr">
        <is>
          <t>1.0210</t>
        </is>
      </c>
      <c r="H6" s="8" t="inlineStr">
        <is>
          <t>$102.10</t>
        </is>
      </c>
    </row>
    <row r="7">
      <c r="B7" s="9" t="n">
        <v>2</v>
      </c>
      <c r="C7" s="9" t="inlineStr">
        <is>
          <t>2020-02-29</t>
        </is>
      </c>
      <c r="D7" s="10" t="inlineStr">
        <is>
          <t>+1.85%</t>
        </is>
      </c>
      <c r="E7" s="10" t="inlineStr">
        <is>
          <t>+1.20%</t>
        </is>
      </c>
      <c r="F7" s="10" t="inlineStr">
        <is>
          <t>+0.65%</t>
        </is>
      </c>
      <c r="G7" s="9" t="inlineStr">
        <is>
          <t>1.0399</t>
        </is>
      </c>
      <c r="H7" s="10" t="inlineStr">
        <is>
          <t>$103.99</t>
        </is>
      </c>
    </row>
    <row r="8">
      <c r="B8" s="7" t="n">
        <v>3</v>
      </c>
      <c r="C8" s="7" t="inlineStr">
        <is>
          <t>2020-03-31</t>
        </is>
      </c>
      <c r="D8" s="19" t="inlineStr">
        <is>
          <t>-3.20%</t>
        </is>
      </c>
      <c r="E8" s="19" t="inlineStr">
        <is>
          <t>-4.50%</t>
        </is>
      </c>
      <c r="F8" s="8" t="inlineStr">
        <is>
          <t>+1.30%</t>
        </is>
      </c>
      <c r="G8" s="7" t="inlineStr">
        <is>
          <t>1.0066</t>
        </is>
      </c>
      <c r="H8" s="8" t="inlineStr">
        <is>
          <t>$100.66</t>
        </is>
      </c>
    </row>
    <row r="9">
      <c r="B9" s="9" t="n">
        <v>4</v>
      </c>
      <c r="C9" s="9" t="inlineStr">
        <is>
          <t>2020-04-30</t>
        </is>
      </c>
      <c r="D9" s="10" t="inlineStr">
        <is>
          <t>+4.50%</t>
        </is>
      </c>
      <c r="E9" s="10" t="inlineStr">
        <is>
          <t>+3.80%</t>
        </is>
      </c>
      <c r="F9" s="10" t="inlineStr">
        <is>
          <t>+0.70%</t>
        </is>
      </c>
      <c r="G9" s="9" t="inlineStr">
        <is>
          <t>1.0519</t>
        </is>
      </c>
      <c r="H9" s="10" t="inlineStr">
        <is>
          <t>$105.19</t>
        </is>
      </c>
    </row>
    <row r="10">
      <c r="B10" s="7" t="n">
        <v>5</v>
      </c>
      <c r="C10" s="7" t="inlineStr">
        <is>
          <t>2020-05-31</t>
        </is>
      </c>
      <c r="D10" s="8" t="inlineStr">
        <is>
          <t>+2.80%</t>
        </is>
      </c>
      <c r="E10" s="8" t="inlineStr">
        <is>
          <t>+2.10%</t>
        </is>
      </c>
      <c r="F10" s="8" t="inlineStr">
        <is>
          <t>+0.70%</t>
        </is>
      </c>
      <c r="G10" s="7" t="inlineStr">
        <is>
          <t>1.0814</t>
        </is>
      </c>
      <c r="H10" s="8" t="inlineStr">
        <is>
          <t>$108.14</t>
        </is>
      </c>
    </row>
    <row r="11">
      <c r="B11" s="9" t="n">
        <v>6</v>
      </c>
      <c r="C11" s="9" t="inlineStr">
        <is>
          <t>2020-06-30</t>
        </is>
      </c>
      <c r="D11" s="10" t="inlineStr">
        <is>
          <t>+1.95%</t>
        </is>
      </c>
      <c r="E11" s="10" t="inlineStr">
        <is>
          <t>+1.40%</t>
        </is>
      </c>
      <c r="F11" s="10" t="inlineStr">
        <is>
          <t>+0.55%</t>
        </is>
      </c>
      <c r="G11" s="9" t="inlineStr">
        <is>
          <t>1.1024</t>
        </is>
      </c>
      <c r="H11" s="10" t="inlineStr">
        <is>
          <t>$110.24</t>
        </is>
      </c>
    </row>
    <row r="12">
      <c r="B12" s="7" t="n">
        <v>7</v>
      </c>
      <c r="C12" s="7" t="inlineStr">
        <is>
          <t>2020-07-31</t>
        </is>
      </c>
      <c r="D12" s="8" t="inlineStr">
        <is>
          <t>+3.10%</t>
        </is>
      </c>
      <c r="E12" s="8" t="inlineStr">
        <is>
          <t>+2.50%</t>
        </is>
      </c>
      <c r="F12" s="8" t="inlineStr">
        <is>
          <t>+0.60%</t>
        </is>
      </c>
      <c r="G12" s="7" t="inlineStr">
        <is>
          <t>1.1366</t>
        </is>
      </c>
      <c r="H12" s="8" t="inlineStr">
        <is>
          <t>$113.66</t>
        </is>
      </c>
    </row>
    <row r="13">
      <c r="B13" s="9" t="n">
        <v>8</v>
      </c>
      <c r="C13" s="9" t="inlineStr">
        <is>
          <t>2020-08-31</t>
        </is>
      </c>
      <c r="D13" s="10" t="inlineStr">
        <is>
          <t>+2.45%</t>
        </is>
      </c>
      <c r="E13" s="10" t="inlineStr">
        <is>
          <t>+1.90%</t>
        </is>
      </c>
      <c r="F13" s="10" t="inlineStr">
        <is>
          <t>+0.55%</t>
        </is>
      </c>
      <c r="G13" s="9" t="inlineStr">
        <is>
          <t>1.1645</t>
        </is>
      </c>
      <c r="H13" s="10" t="inlineStr">
        <is>
          <t>$116.45</t>
        </is>
      </c>
    </row>
    <row r="14">
      <c r="B14" s="7" t="n">
        <v>9</v>
      </c>
      <c r="C14" s="7" t="inlineStr">
        <is>
          <t>2020-09-30</t>
        </is>
      </c>
      <c r="D14" s="19" t="inlineStr">
        <is>
          <t>-1.80%</t>
        </is>
      </c>
      <c r="E14" s="19" t="inlineStr">
        <is>
          <t>-2.30%</t>
        </is>
      </c>
      <c r="F14" s="8" t="inlineStr">
        <is>
          <t>+0.50%</t>
        </is>
      </c>
      <c r="G14" s="7" t="inlineStr">
        <is>
          <t>1.1435</t>
        </is>
      </c>
      <c r="H14" s="8" t="inlineStr">
        <is>
          <t>$114.35</t>
        </is>
      </c>
    </row>
    <row r="15">
      <c r="B15" s="9" t="n">
        <v>10</v>
      </c>
      <c r="C15" s="9" t="inlineStr">
        <is>
          <t>2020-10-31</t>
        </is>
      </c>
      <c r="D15" s="10" t="inlineStr">
        <is>
          <t>+2.90%</t>
        </is>
      </c>
      <c r="E15" s="10" t="inlineStr">
        <is>
          <t>+2.20%</t>
        </is>
      </c>
      <c r="F15" s="10" t="inlineStr">
        <is>
          <t>+0.70%</t>
        </is>
      </c>
      <c r="G15" s="9" t="inlineStr">
        <is>
          <t>1.1767</t>
        </is>
      </c>
      <c r="H15" s="10" t="inlineStr">
        <is>
          <t>$117.67</t>
        </is>
      </c>
    </row>
    <row r="16">
      <c r="B16" s="7" t="n">
        <v>11</v>
      </c>
      <c r="C16" s="7" t="inlineStr">
        <is>
          <t>2020-11-30</t>
        </is>
      </c>
      <c r="D16" s="8" t="inlineStr">
        <is>
          <t>+4.20%</t>
        </is>
      </c>
      <c r="E16" s="8" t="inlineStr">
        <is>
          <t>+3.50%</t>
        </is>
      </c>
      <c r="F16" s="8" t="inlineStr">
        <is>
          <t>+0.70%</t>
        </is>
      </c>
      <c r="G16" s="7" t="inlineStr">
        <is>
          <t>1.2261</t>
        </is>
      </c>
      <c r="H16" s="8" t="inlineStr">
        <is>
          <t>$122.61</t>
        </is>
      </c>
    </row>
    <row r="17">
      <c r="B17" s="9" t="n">
        <v>12</v>
      </c>
      <c r="C17" s="9" t="inlineStr">
        <is>
          <t>2020-12-31</t>
        </is>
      </c>
      <c r="D17" s="10" t="inlineStr">
        <is>
          <t>+3.15%</t>
        </is>
      </c>
      <c r="E17" s="10" t="inlineStr">
        <is>
          <t>+2.60%</t>
        </is>
      </c>
      <c r="F17" s="10" t="inlineStr">
        <is>
          <t>+0.55%</t>
        </is>
      </c>
      <c r="G17" s="9" t="inlineStr">
        <is>
          <t>1.2647</t>
        </is>
      </c>
      <c r="H17" s="10" t="inlineStr">
        <is>
          <t>$126.47</t>
        </is>
      </c>
    </row>
    <row r="18">
      <c r="B18" s="7" t="n">
        <v>13</v>
      </c>
      <c r="C18" s="7" t="inlineStr">
        <is>
          <t>2021-01-31</t>
        </is>
      </c>
      <c r="D18" s="8" t="inlineStr">
        <is>
          <t>+1.95%</t>
        </is>
      </c>
      <c r="E18" s="8" t="inlineStr">
        <is>
          <t>+1.40%</t>
        </is>
      </c>
      <c r="F18" s="8" t="inlineStr">
        <is>
          <t>+0.55%</t>
        </is>
      </c>
      <c r="G18" s="7" t="inlineStr">
        <is>
          <t>1.2894</t>
        </is>
      </c>
      <c r="H18" s="8" t="inlineStr">
        <is>
          <t>$128.94</t>
        </is>
      </c>
    </row>
    <row r="19">
      <c r="B19" s="9" t="n">
        <v>14</v>
      </c>
      <c r="C19" s="9" t="inlineStr">
        <is>
          <t>2021-02-28</t>
        </is>
      </c>
      <c r="D19" s="10" t="inlineStr">
        <is>
          <t>+2.30%</t>
        </is>
      </c>
      <c r="E19" s="10" t="inlineStr">
        <is>
          <t>+1.80%</t>
        </is>
      </c>
      <c r="F19" s="10" t="inlineStr">
        <is>
          <t>+0.50%</t>
        </is>
      </c>
      <c r="G19" s="9" t="inlineStr">
        <is>
          <t>1.3190</t>
        </is>
      </c>
      <c r="H19" s="10" t="inlineStr">
        <is>
          <t>$131.90</t>
        </is>
      </c>
    </row>
    <row r="20">
      <c r="B20" s="7" t="n">
        <v>15</v>
      </c>
      <c r="C20" s="7" t="inlineStr">
        <is>
          <t>2021-03-31</t>
        </is>
      </c>
      <c r="D20" s="8" t="inlineStr">
        <is>
          <t>+1.80%</t>
        </is>
      </c>
      <c r="E20" s="8" t="inlineStr">
        <is>
          <t>+1.30%</t>
        </is>
      </c>
      <c r="F20" s="8" t="inlineStr">
        <is>
          <t>+0.50%</t>
        </is>
      </c>
      <c r="G20" s="7" t="inlineStr">
        <is>
          <t>1.3428</t>
        </is>
      </c>
      <c r="H20" s="8" t="inlineStr">
        <is>
          <t>$134.28</t>
        </is>
      </c>
    </row>
    <row r="21">
      <c r="B21" s="9" t="n">
        <v>16</v>
      </c>
      <c r="C21" s="9" t="inlineStr">
        <is>
          <t>2021-04-30</t>
        </is>
      </c>
      <c r="D21" s="10" t="inlineStr">
        <is>
          <t>+2.10%</t>
        </is>
      </c>
      <c r="E21" s="10" t="inlineStr">
        <is>
          <t>+1.70%</t>
        </is>
      </c>
      <c r="F21" s="10" t="inlineStr">
        <is>
          <t>+0.40%</t>
        </is>
      </c>
      <c r="G21" s="9" t="inlineStr">
        <is>
          <t>1.3710</t>
        </is>
      </c>
      <c r="H21" s="10" t="inlineStr">
        <is>
          <t>$137.10</t>
        </is>
      </c>
    </row>
    <row r="22">
      <c r="B22" s="7" t="n">
        <v>17</v>
      </c>
      <c r="C22" s="7" t="inlineStr">
        <is>
          <t>2021-05-31</t>
        </is>
      </c>
      <c r="D22" s="19" t="inlineStr">
        <is>
          <t>-0.90%</t>
        </is>
      </c>
      <c r="E22" s="19" t="inlineStr">
        <is>
          <t>-1.20%</t>
        </is>
      </c>
      <c r="F22" s="8" t="inlineStr">
        <is>
          <t>+0.30%</t>
        </is>
      </c>
      <c r="G22" s="7" t="inlineStr">
        <is>
          <t>1.3586</t>
        </is>
      </c>
      <c r="H22" s="8" t="inlineStr">
        <is>
          <t>$135.86</t>
        </is>
      </c>
    </row>
    <row r="23">
      <c r="B23" s="9" t="n">
        <v>18</v>
      </c>
      <c r="C23" s="9" t="inlineStr">
        <is>
          <t>2021-06-30</t>
        </is>
      </c>
      <c r="D23" s="10" t="inlineStr">
        <is>
          <t>+2.45%</t>
        </is>
      </c>
      <c r="E23" s="10" t="inlineStr">
        <is>
          <t>+1.90%</t>
        </is>
      </c>
      <c r="F23" s="10" t="inlineStr">
        <is>
          <t>+0.55%</t>
        </is>
      </c>
      <c r="G23" s="9" t="inlineStr">
        <is>
          <t>1.3919</t>
        </is>
      </c>
      <c r="H23" s="10" t="inlineStr">
        <is>
          <t>$139.19</t>
        </is>
      </c>
    </row>
    <row r="24">
      <c r="B24" s="7" t="n">
        <v>19</v>
      </c>
      <c r="C24" s="7" t="inlineStr">
        <is>
          <t>2021-07-31</t>
        </is>
      </c>
      <c r="D24" s="8" t="inlineStr">
        <is>
          <t>+1.70%</t>
        </is>
      </c>
      <c r="E24" s="8" t="inlineStr">
        <is>
          <t>+1.30%</t>
        </is>
      </c>
      <c r="F24" s="8" t="inlineStr">
        <is>
          <t>+0.40%</t>
        </is>
      </c>
      <c r="G24" s="7" t="inlineStr">
        <is>
          <t>1.4156</t>
        </is>
      </c>
      <c r="H24" s="8" t="inlineStr">
        <is>
          <t>$141.56</t>
        </is>
      </c>
    </row>
    <row r="25">
      <c r="B25" s="9" t="n">
        <v>20</v>
      </c>
      <c r="C25" s="9" t="inlineStr">
        <is>
          <t>2021-08-31</t>
        </is>
      </c>
      <c r="D25" s="10" t="inlineStr">
        <is>
          <t>+2.85%</t>
        </is>
      </c>
      <c r="E25" s="10" t="inlineStr">
        <is>
          <t>+2.30%</t>
        </is>
      </c>
      <c r="F25" s="10" t="inlineStr">
        <is>
          <t>+0.55%</t>
        </is>
      </c>
      <c r="G25" s="9" t="inlineStr">
        <is>
          <t>1.4559</t>
        </is>
      </c>
      <c r="H25" s="10" t="inlineStr">
        <is>
          <t>$145.59</t>
        </is>
      </c>
    </row>
    <row r="26">
      <c r="B26" s="7" t="n">
        <v>21</v>
      </c>
      <c r="C26" s="7" t="inlineStr">
        <is>
          <t>2021-09-30</t>
        </is>
      </c>
      <c r="D26" s="19" t="inlineStr">
        <is>
          <t>-2.10%</t>
        </is>
      </c>
      <c r="E26" s="19" t="inlineStr">
        <is>
          <t>-2.60%</t>
        </is>
      </c>
      <c r="F26" s="8" t="inlineStr">
        <is>
          <t>+0.50%</t>
        </is>
      </c>
      <c r="G26" s="7" t="inlineStr">
        <is>
          <t>1.4254</t>
        </is>
      </c>
      <c r="H26" s="8" t="inlineStr">
        <is>
          <t>$142.54</t>
        </is>
      </c>
    </row>
    <row r="27">
      <c r="B27" s="9" t="n">
        <v>22</v>
      </c>
      <c r="C27" s="9" t="inlineStr">
        <is>
          <t>2021-10-31</t>
        </is>
      </c>
      <c r="D27" s="10" t="inlineStr">
        <is>
          <t>+3.20%</t>
        </is>
      </c>
      <c r="E27" s="10" t="inlineStr">
        <is>
          <t>+2.60%</t>
        </is>
      </c>
      <c r="F27" s="10" t="inlineStr">
        <is>
          <t>+0.60%</t>
        </is>
      </c>
      <c r="G27" s="9" t="inlineStr">
        <is>
          <t>1.4710</t>
        </is>
      </c>
      <c r="H27" s="10" t="inlineStr">
        <is>
          <t>$147.10</t>
        </is>
      </c>
    </row>
    <row r="28">
      <c r="B28" s="7" t="n">
        <v>23</v>
      </c>
      <c r="C28" s="7" t="inlineStr">
        <is>
          <t>2021-11-30</t>
        </is>
      </c>
      <c r="D28" s="8" t="inlineStr">
        <is>
          <t>+1.95%</t>
        </is>
      </c>
      <c r="E28" s="8" t="inlineStr">
        <is>
          <t>+1.50%</t>
        </is>
      </c>
      <c r="F28" s="8" t="inlineStr">
        <is>
          <t>+0.45%</t>
        </is>
      </c>
      <c r="G28" s="7" t="inlineStr">
        <is>
          <t>1.4997</t>
        </is>
      </c>
      <c r="H28" s="8" t="inlineStr">
        <is>
          <t>$149.97</t>
        </is>
      </c>
    </row>
    <row r="29">
      <c r="B29" s="9" t="n">
        <v>24</v>
      </c>
      <c r="C29" s="9" t="inlineStr">
        <is>
          <t>2021-12-31</t>
        </is>
      </c>
      <c r="D29" s="10" t="inlineStr">
        <is>
          <t>+2.80%</t>
        </is>
      </c>
      <c r="E29" s="10" t="inlineStr">
        <is>
          <t>+2.30%</t>
        </is>
      </c>
      <c r="F29" s="10" t="inlineStr">
        <is>
          <t>+0.50%</t>
        </is>
      </c>
      <c r="G29" s="9" t="inlineStr">
        <is>
          <t>1.5416</t>
        </is>
      </c>
      <c r="H29" s="10" t="inlineStr">
        <is>
          <t>$154.16</t>
        </is>
      </c>
    </row>
    <row r="30">
      <c r="B30" s="7" t="n">
        <v>25</v>
      </c>
      <c r="C30" s="7" t="inlineStr">
        <is>
          <t>2022-01-31</t>
        </is>
      </c>
      <c r="D30" s="19" t="inlineStr">
        <is>
          <t>-1.50%</t>
        </is>
      </c>
      <c r="E30" s="19" t="inlineStr">
        <is>
          <t>-2.10%</t>
        </is>
      </c>
      <c r="F30" s="8" t="inlineStr">
        <is>
          <t>+0.60%</t>
        </is>
      </c>
      <c r="G30" s="7" t="inlineStr">
        <is>
          <t>1.5185</t>
        </is>
      </c>
      <c r="H30" s="8" t="inlineStr">
        <is>
          <t>$151.85</t>
        </is>
      </c>
    </row>
    <row r="31">
      <c r="B31" s="9" t="n">
        <v>26</v>
      </c>
      <c r="C31" s="9" t="inlineStr">
        <is>
          <t>2022-02-28</t>
        </is>
      </c>
      <c r="D31" s="11" t="inlineStr">
        <is>
          <t>-2.80%</t>
        </is>
      </c>
      <c r="E31" s="11" t="inlineStr">
        <is>
          <t>-3.50%</t>
        </is>
      </c>
      <c r="F31" s="10" t="inlineStr">
        <is>
          <t>+0.70%</t>
        </is>
      </c>
      <c r="G31" s="9" t="inlineStr">
        <is>
          <t>1.4760</t>
        </is>
      </c>
      <c r="H31" s="10" t="inlineStr">
        <is>
          <t>$147.60</t>
        </is>
      </c>
    </row>
    <row r="32">
      <c r="B32" s="7" t="n">
        <v>27</v>
      </c>
      <c r="C32" s="7" t="inlineStr">
        <is>
          <t>2022-03-31</t>
        </is>
      </c>
      <c r="D32" s="8" t="inlineStr">
        <is>
          <t>+1.20%</t>
        </is>
      </c>
      <c r="E32" s="8" t="inlineStr">
        <is>
          <t>+0.80%</t>
        </is>
      </c>
      <c r="F32" s="8" t="inlineStr">
        <is>
          <t>+0.40%</t>
        </is>
      </c>
      <c r="G32" s="7" t="inlineStr">
        <is>
          <t>1.4937</t>
        </is>
      </c>
      <c r="H32" s="8" t="inlineStr">
        <is>
          <t>$149.37</t>
        </is>
      </c>
    </row>
    <row r="33">
      <c r="B33" s="9" t="n">
        <v>28</v>
      </c>
      <c r="C33" s="9" t="inlineStr">
        <is>
          <t>2022-04-30</t>
        </is>
      </c>
      <c r="D33" s="11" t="inlineStr">
        <is>
          <t>-1.90%</t>
        </is>
      </c>
      <c r="E33" s="11" t="inlineStr">
        <is>
          <t>-2.40%</t>
        </is>
      </c>
      <c r="F33" s="10" t="inlineStr">
        <is>
          <t>+0.50%</t>
        </is>
      </c>
      <c r="G33" s="9" t="inlineStr">
        <is>
          <t>1.4653</t>
        </is>
      </c>
      <c r="H33" s="10" t="inlineStr">
        <is>
          <t>$146.53</t>
        </is>
      </c>
    </row>
    <row r="34">
      <c r="B34" s="7" t="n">
        <v>29</v>
      </c>
      <c r="C34" s="7" t="inlineStr">
        <is>
          <t>2022-05-31</t>
        </is>
      </c>
      <c r="D34" s="19" t="inlineStr">
        <is>
          <t>-3.40%</t>
        </is>
      </c>
      <c r="E34" s="19" t="inlineStr">
        <is>
          <t>-4.10%</t>
        </is>
      </c>
      <c r="F34" s="8" t="inlineStr">
        <is>
          <t>+0.70%</t>
        </is>
      </c>
      <c r="G34" s="7" t="inlineStr">
        <is>
          <t>1.4155</t>
        </is>
      </c>
      <c r="H34" s="8" t="inlineStr">
        <is>
          <t>$141.55</t>
        </is>
      </c>
    </row>
    <row r="35">
      <c r="B35" s="9" t="n">
        <v>30</v>
      </c>
      <c r="C35" s="9" t="inlineStr">
        <is>
          <t>2022-06-30</t>
        </is>
      </c>
      <c r="D35" s="11" t="inlineStr">
        <is>
          <t>-2.10%</t>
        </is>
      </c>
      <c r="E35" s="11" t="inlineStr">
        <is>
          <t>-2.80%</t>
        </is>
      </c>
      <c r="F35" s="10" t="inlineStr">
        <is>
          <t>+0.70%</t>
        </is>
      </c>
      <c r="G35" s="9" t="inlineStr">
        <is>
          <t>1.3858</t>
        </is>
      </c>
      <c r="H35" s="10" t="inlineStr">
        <is>
          <t>$138.58</t>
        </is>
      </c>
    </row>
    <row r="36">
      <c r="B36" s="7" t="n">
        <v>31</v>
      </c>
      <c r="C36" s="7" t="inlineStr">
        <is>
          <t>2022-07-31</t>
        </is>
      </c>
      <c r="D36" s="8" t="inlineStr">
        <is>
          <t>+2.50%</t>
        </is>
      </c>
      <c r="E36" s="8" t="inlineStr">
        <is>
          <t>+2.00%</t>
        </is>
      </c>
      <c r="F36" s="8" t="inlineStr">
        <is>
          <t>+0.50%</t>
        </is>
      </c>
      <c r="G36" s="7" t="inlineStr">
        <is>
          <t>1.4204</t>
        </is>
      </c>
      <c r="H36" s="8" t="inlineStr">
        <is>
          <t>$142.04</t>
        </is>
      </c>
    </row>
    <row r="37">
      <c r="B37" s="9" t="n">
        <v>32</v>
      </c>
      <c r="C37" s="9" t="inlineStr">
        <is>
          <t>2022-08-31</t>
        </is>
      </c>
      <c r="D37" s="10" t="inlineStr">
        <is>
          <t>+1.80%</t>
        </is>
      </c>
      <c r="E37" s="10" t="inlineStr">
        <is>
          <t>+1.40%</t>
        </is>
      </c>
      <c r="F37" s="10" t="inlineStr">
        <is>
          <t>+0.40%</t>
        </is>
      </c>
      <c r="G37" s="9" t="inlineStr">
        <is>
          <t>1.4460</t>
        </is>
      </c>
      <c r="H37" s="10" t="inlineStr">
        <is>
          <t>$144.60</t>
        </is>
      </c>
    </row>
    <row r="38">
      <c r="B38" s="7" t="n">
        <v>33</v>
      </c>
      <c r="C38" s="7" t="inlineStr">
        <is>
          <t>2022-09-30</t>
        </is>
      </c>
      <c r="D38" s="19" t="inlineStr">
        <is>
          <t>-4.20%</t>
        </is>
      </c>
      <c r="E38" s="19" t="inlineStr">
        <is>
          <t>-5.00%</t>
        </is>
      </c>
      <c r="F38" s="8" t="inlineStr">
        <is>
          <t>+0.80%</t>
        </is>
      </c>
      <c r="G38" s="7" t="inlineStr">
        <is>
          <t>1.3853</t>
        </is>
      </c>
      <c r="H38" s="8" t="inlineStr">
        <is>
          <t>$138.53</t>
        </is>
      </c>
    </row>
    <row r="39">
      <c r="B39" s="9" t="n">
        <v>34</v>
      </c>
      <c r="C39" s="9" t="inlineStr">
        <is>
          <t>2022-10-31</t>
        </is>
      </c>
      <c r="D39" s="10" t="inlineStr">
        <is>
          <t>+3.10%</t>
        </is>
      </c>
      <c r="E39" s="10" t="inlineStr">
        <is>
          <t>+2.50%</t>
        </is>
      </c>
      <c r="F39" s="10" t="inlineStr">
        <is>
          <t>+0.60%</t>
        </is>
      </c>
      <c r="G39" s="9" t="inlineStr">
        <is>
          <t>1.4282</t>
        </is>
      </c>
      <c r="H39" s="10" t="inlineStr">
        <is>
          <t>$142.82</t>
        </is>
      </c>
    </row>
    <row r="40">
      <c r="B40" s="7" t="n">
        <v>35</v>
      </c>
      <c r="C40" s="7" t="inlineStr">
        <is>
          <t>2022-11-30</t>
        </is>
      </c>
      <c r="D40" s="8" t="inlineStr">
        <is>
          <t>+2.40%</t>
        </is>
      </c>
      <c r="E40" s="8" t="inlineStr">
        <is>
          <t>+1.90%</t>
        </is>
      </c>
      <c r="F40" s="8" t="inlineStr">
        <is>
          <t>+0.50%</t>
        </is>
      </c>
      <c r="G40" s="7" t="inlineStr">
        <is>
          <t>1.4625</t>
        </is>
      </c>
      <c r="H40" s="8" t="inlineStr">
        <is>
          <t>$146.25</t>
        </is>
      </c>
    </row>
    <row r="41">
      <c r="B41" s="9" t="n">
        <v>36</v>
      </c>
      <c r="C41" s="9" t="inlineStr">
        <is>
          <t>2022-12-31</t>
        </is>
      </c>
      <c r="D41" s="10" t="inlineStr">
        <is>
          <t>+1.90%</t>
        </is>
      </c>
      <c r="E41" s="10" t="inlineStr">
        <is>
          <t>+1.40%</t>
        </is>
      </c>
      <c r="F41" s="10" t="inlineStr">
        <is>
          <t>+0.50%</t>
        </is>
      </c>
      <c r="G41" s="9" t="inlineStr">
        <is>
          <t>1.4903</t>
        </is>
      </c>
      <c r="H41" s="10" t="inlineStr">
        <is>
          <t>$149.03</t>
        </is>
      </c>
    </row>
    <row r="42">
      <c r="B42" s="7" t="n">
        <v>37</v>
      </c>
      <c r="C42" s="7" t="inlineStr">
        <is>
          <t>2023-01-31</t>
        </is>
      </c>
      <c r="D42" s="8" t="inlineStr">
        <is>
          <t>+2.80%</t>
        </is>
      </c>
      <c r="E42" s="8" t="inlineStr">
        <is>
          <t>+2.20%</t>
        </is>
      </c>
      <c r="F42" s="8" t="inlineStr">
        <is>
          <t>+0.60%</t>
        </is>
      </c>
      <c r="G42" s="7" t="inlineStr">
        <is>
          <t>1.5320</t>
        </is>
      </c>
      <c r="H42" s="8" t="inlineStr">
        <is>
          <t>$153.20</t>
        </is>
      </c>
    </row>
    <row r="43">
      <c r="B43" s="9" t="n">
        <v>38</v>
      </c>
      <c r="C43" s="9" t="inlineStr">
        <is>
          <t>2023-02-28</t>
        </is>
      </c>
      <c r="D43" s="10" t="inlineStr">
        <is>
          <t>+1.90%</t>
        </is>
      </c>
      <c r="E43" s="10" t="inlineStr">
        <is>
          <t>+1.50%</t>
        </is>
      </c>
      <c r="F43" s="10" t="inlineStr">
        <is>
          <t>+0.40%</t>
        </is>
      </c>
      <c r="G43" s="9" t="inlineStr">
        <is>
          <t>1.5611</t>
        </is>
      </c>
      <c r="H43" s="10" t="inlineStr">
        <is>
          <t>$156.11</t>
        </is>
      </c>
    </row>
    <row r="44">
      <c r="B44" s="7" t="n">
        <v>39</v>
      </c>
      <c r="C44" s="7" t="inlineStr">
        <is>
          <t>2023-03-31</t>
        </is>
      </c>
      <c r="D44" s="8" t="inlineStr">
        <is>
          <t>+2.10%</t>
        </is>
      </c>
      <c r="E44" s="8" t="inlineStr">
        <is>
          <t>+1.70%</t>
        </is>
      </c>
      <c r="F44" s="8" t="inlineStr">
        <is>
          <t>+0.40%</t>
        </is>
      </c>
      <c r="G44" s="7" t="inlineStr">
        <is>
          <t>1.5939</t>
        </is>
      </c>
      <c r="H44" s="8" t="inlineStr">
        <is>
          <t>$159.39</t>
        </is>
      </c>
    </row>
    <row r="45">
      <c r="B45" s="9" t="n">
        <v>40</v>
      </c>
      <c r="C45" s="9" t="inlineStr">
        <is>
          <t>2023-04-30</t>
        </is>
      </c>
      <c r="D45" s="10" t="inlineStr">
        <is>
          <t>+1.50%</t>
        </is>
      </c>
      <c r="E45" s="10" t="inlineStr">
        <is>
          <t>+1.20%</t>
        </is>
      </c>
      <c r="F45" s="10" t="inlineStr">
        <is>
          <t>+0.30%</t>
        </is>
      </c>
      <c r="G45" s="9" t="inlineStr">
        <is>
          <t>1.6178</t>
        </is>
      </c>
      <c r="H45" s="10" t="inlineStr">
        <is>
          <t>$161.78</t>
        </is>
      </c>
    </row>
    <row r="46">
      <c r="B46" s="7" t="n">
        <v>41</v>
      </c>
      <c r="C46" s="7" t="inlineStr">
        <is>
          <t>2023-05-31</t>
        </is>
      </c>
      <c r="D46" s="8" t="inlineStr">
        <is>
          <t>+2.30%</t>
        </is>
      </c>
      <c r="E46" s="8" t="inlineStr">
        <is>
          <t>+1.80%</t>
        </is>
      </c>
      <c r="F46" s="8" t="inlineStr">
        <is>
          <t>+0.50%</t>
        </is>
      </c>
      <c r="G46" s="7" t="inlineStr">
        <is>
          <t>1.6550</t>
        </is>
      </c>
      <c r="H46" s="8" t="inlineStr">
        <is>
          <t>$165.50</t>
        </is>
      </c>
    </row>
    <row r="47">
      <c r="B47" s="9" t="n">
        <v>42</v>
      </c>
      <c r="C47" s="9" t="inlineStr">
        <is>
          <t>2023-06-30</t>
        </is>
      </c>
      <c r="D47" s="10" t="inlineStr">
        <is>
          <t>+1.80%</t>
        </is>
      </c>
      <c r="E47" s="10" t="inlineStr">
        <is>
          <t>+1.40%</t>
        </is>
      </c>
      <c r="F47" s="10" t="inlineStr">
        <is>
          <t>+0.40%</t>
        </is>
      </c>
      <c r="G47" s="9" t="inlineStr">
        <is>
          <t>1.6848</t>
        </is>
      </c>
      <c r="H47" s="10" t="inlineStr">
        <is>
          <t>$168.48</t>
        </is>
      </c>
    </row>
    <row r="48">
      <c r="B48" s="7" t="n">
        <v>43</v>
      </c>
      <c r="C48" s="7" t="inlineStr">
        <is>
          <t>2023-07-31</t>
        </is>
      </c>
      <c r="D48" s="8" t="inlineStr">
        <is>
          <t>+2.40%</t>
        </is>
      </c>
      <c r="E48" s="8" t="inlineStr">
        <is>
          <t>+1.90%</t>
        </is>
      </c>
      <c r="F48" s="8" t="inlineStr">
        <is>
          <t>+0.50%</t>
        </is>
      </c>
      <c r="G48" s="7" t="inlineStr">
        <is>
          <t>1.7252</t>
        </is>
      </c>
      <c r="H48" s="8" t="inlineStr">
        <is>
          <t>$172.52</t>
        </is>
      </c>
    </row>
    <row r="49">
      <c r="B49" s="9" t="n">
        <v>44</v>
      </c>
      <c r="C49" s="9" t="inlineStr">
        <is>
          <t>2023-08-31</t>
        </is>
      </c>
      <c r="D49" s="11" t="inlineStr">
        <is>
          <t>-1.20%</t>
        </is>
      </c>
      <c r="E49" s="11" t="inlineStr">
        <is>
          <t>-1.60%</t>
        </is>
      </c>
      <c r="F49" s="10" t="inlineStr">
        <is>
          <t>+0.40%</t>
        </is>
      </c>
      <c r="G49" s="9" t="inlineStr">
        <is>
          <t>1.7045</t>
        </is>
      </c>
      <c r="H49" s="10" t="inlineStr">
        <is>
          <t>$170.45</t>
        </is>
      </c>
    </row>
    <row r="50">
      <c r="B50" s="7" t="n">
        <v>45</v>
      </c>
      <c r="C50" s="7" t="inlineStr">
        <is>
          <t>2023-09-30</t>
        </is>
      </c>
      <c r="D50" s="8" t="inlineStr">
        <is>
          <t>+1.90%</t>
        </is>
      </c>
      <c r="E50" s="8" t="inlineStr">
        <is>
          <t>+1.50%</t>
        </is>
      </c>
      <c r="F50" s="8" t="inlineStr">
        <is>
          <t>+0.40%</t>
        </is>
      </c>
      <c r="G50" s="7" t="inlineStr">
        <is>
          <t>1.7369</t>
        </is>
      </c>
      <c r="H50" s="8" t="inlineStr">
        <is>
          <t>$173.69</t>
        </is>
      </c>
    </row>
    <row r="51">
      <c r="B51" s="9" t="n">
        <v>46</v>
      </c>
      <c r="C51" s="9" t="inlineStr">
        <is>
          <t>2023-10-31</t>
        </is>
      </c>
      <c r="D51" s="10" t="inlineStr">
        <is>
          <t>+2.10%</t>
        </is>
      </c>
      <c r="E51" s="10" t="inlineStr">
        <is>
          <t>+1.70%</t>
        </is>
      </c>
      <c r="F51" s="10" t="inlineStr">
        <is>
          <t>+0.40%</t>
        </is>
      </c>
      <c r="G51" s="9" t="inlineStr">
        <is>
          <t>1.7734</t>
        </is>
      </c>
      <c r="H51" s="10" t="inlineStr">
        <is>
          <t>$177.34</t>
        </is>
      </c>
    </row>
    <row r="52">
      <c r="B52" s="7" t="n">
        <v>47</v>
      </c>
      <c r="C52" s="7" t="inlineStr">
        <is>
          <t>2023-11-30</t>
        </is>
      </c>
      <c r="D52" s="8" t="inlineStr">
        <is>
          <t>+3.20%</t>
        </is>
      </c>
      <c r="E52" s="8" t="inlineStr">
        <is>
          <t>+2.60%</t>
        </is>
      </c>
      <c r="F52" s="8" t="inlineStr">
        <is>
          <t>+0.60%</t>
        </is>
      </c>
      <c r="G52" s="7" t="inlineStr">
        <is>
          <t>1.8301</t>
        </is>
      </c>
      <c r="H52" s="8" t="inlineStr">
        <is>
          <t>$183.01</t>
        </is>
      </c>
    </row>
    <row r="53">
      <c r="B53" s="9" t="n">
        <v>48</v>
      </c>
      <c r="C53" s="9" t="inlineStr">
        <is>
          <t>2023-12-31</t>
        </is>
      </c>
      <c r="D53" s="10" t="inlineStr">
        <is>
          <t>+2.50%</t>
        </is>
      </c>
      <c r="E53" s="10" t="inlineStr">
        <is>
          <t>+2.00%</t>
        </is>
      </c>
      <c r="F53" s="10" t="inlineStr">
        <is>
          <t>+0.50%</t>
        </is>
      </c>
      <c r="G53" s="9" t="inlineStr">
        <is>
          <t>1.8759</t>
        </is>
      </c>
      <c r="H53" s="10" t="inlineStr">
        <is>
          <t>$187.59</t>
        </is>
      </c>
    </row>
    <row r="54">
      <c r="B54" s="7" t="n">
        <v>49</v>
      </c>
      <c r="C54" s="7" t="inlineStr">
        <is>
          <t>2024-01-31</t>
        </is>
      </c>
      <c r="D54" s="8" t="inlineStr">
        <is>
          <t>+1.80%</t>
        </is>
      </c>
      <c r="E54" s="8" t="inlineStr">
        <is>
          <t>+1.40%</t>
        </is>
      </c>
      <c r="F54" s="8" t="inlineStr">
        <is>
          <t>+0.40%</t>
        </is>
      </c>
      <c r="G54" s="7" t="inlineStr">
        <is>
          <t>1.9097</t>
        </is>
      </c>
      <c r="H54" s="8" t="inlineStr">
        <is>
          <t>$190.97</t>
        </is>
      </c>
    </row>
    <row r="55">
      <c r="B55" s="9" t="n">
        <v>50</v>
      </c>
      <c r="C55" s="9" t="inlineStr">
        <is>
          <t>2024-02-29</t>
        </is>
      </c>
      <c r="D55" s="10" t="inlineStr">
        <is>
          <t>+2.10%</t>
        </is>
      </c>
      <c r="E55" s="10" t="inlineStr">
        <is>
          <t>+1.70%</t>
        </is>
      </c>
      <c r="F55" s="10" t="inlineStr">
        <is>
          <t>+0.40%</t>
        </is>
      </c>
      <c r="G55" s="9" t="inlineStr">
        <is>
          <t>1.9498</t>
        </is>
      </c>
      <c r="H55" s="10" t="inlineStr">
        <is>
          <t>$194.98</t>
        </is>
      </c>
    </row>
    <row r="56">
      <c r="B56" s="7" t="n">
        <v>51</v>
      </c>
      <c r="C56" s="7" t="inlineStr">
        <is>
          <t>2024-03-31</t>
        </is>
      </c>
      <c r="D56" s="8" t="inlineStr">
        <is>
          <t>+1.50%</t>
        </is>
      </c>
      <c r="E56" s="8" t="inlineStr">
        <is>
          <t>+1.20%</t>
        </is>
      </c>
      <c r="F56" s="8" t="inlineStr">
        <is>
          <t>+0.30%</t>
        </is>
      </c>
      <c r="G56" s="7" t="inlineStr">
        <is>
          <t>1.9790</t>
        </is>
      </c>
      <c r="H56" s="8" t="inlineStr">
        <is>
          <t>$197.90</t>
        </is>
      </c>
    </row>
    <row r="57">
      <c r="B57" s="9" t="n">
        <v>52</v>
      </c>
      <c r="C57" s="9" t="inlineStr">
        <is>
          <t>2024-04-30</t>
        </is>
      </c>
      <c r="D57" s="10" t="inlineStr">
        <is>
          <t>+2.30%</t>
        </is>
      </c>
      <c r="E57" s="10" t="inlineStr">
        <is>
          <t>+1.90%</t>
        </is>
      </c>
      <c r="F57" s="10" t="inlineStr">
        <is>
          <t>+0.40%</t>
        </is>
      </c>
      <c r="G57" s="9" t="inlineStr">
        <is>
          <t>2.0245</t>
        </is>
      </c>
      <c r="H57" s="10" t="inlineStr">
        <is>
          <t>$202.45</t>
        </is>
      </c>
    </row>
    <row r="58">
      <c r="B58" s="7" t="n">
        <v>53</v>
      </c>
      <c r="C58" s="7" t="inlineStr">
        <is>
          <t>2024-05-31</t>
        </is>
      </c>
      <c r="D58" s="8" t="inlineStr">
        <is>
          <t>+1.20%</t>
        </is>
      </c>
      <c r="E58" s="8" t="inlineStr">
        <is>
          <t>+0.90%</t>
        </is>
      </c>
      <c r="F58" s="8" t="inlineStr">
        <is>
          <t>+0.30%</t>
        </is>
      </c>
      <c r="G58" s="7" t="inlineStr">
        <is>
          <t>2.0488</t>
        </is>
      </c>
      <c r="H58" s="8" t="inlineStr">
        <is>
          <t>$204.88</t>
        </is>
      </c>
    </row>
    <row r="59">
      <c r="B59" s="9" t="n">
        <v>54</v>
      </c>
      <c r="C59" s="9" t="inlineStr">
        <is>
          <t>2024-06-30</t>
        </is>
      </c>
      <c r="D59" s="10" t="inlineStr">
        <is>
          <t>+1.90%</t>
        </is>
      </c>
      <c r="E59" s="10" t="inlineStr">
        <is>
          <t>+1.50%</t>
        </is>
      </c>
      <c r="F59" s="10" t="inlineStr">
        <is>
          <t>+0.40%</t>
        </is>
      </c>
      <c r="G59" s="9" t="inlineStr">
        <is>
          <t>2.0877</t>
        </is>
      </c>
      <c r="H59" s="10" t="inlineStr">
        <is>
          <t>$208.77</t>
        </is>
      </c>
    </row>
    <row r="60">
      <c r="B60" s="7" t="n">
        <v>55</v>
      </c>
      <c r="C60" s="7" t="inlineStr">
        <is>
          <t>2024-07-31</t>
        </is>
      </c>
      <c r="D60" s="8" t="inlineStr">
        <is>
          <t>+2.10%</t>
        </is>
      </c>
      <c r="E60" s="8" t="inlineStr">
        <is>
          <t>+1.70%</t>
        </is>
      </c>
      <c r="F60" s="8" t="inlineStr">
        <is>
          <t>+0.40%</t>
        </is>
      </c>
      <c r="G60" s="7" t="inlineStr">
        <is>
          <t>2.1316</t>
        </is>
      </c>
      <c r="H60" s="8" t="inlineStr">
        <is>
          <t>$213.16</t>
        </is>
      </c>
    </row>
    <row r="61">
      <c r="B61" s="9" t="n">
        <v>56</v>
      </c>
      <c r="C61" s="9" t="inlineStr">
        <is>
          <t>2024-08-31</t>
        </is>
      </c>
      <c r="D61" s="10" t="inlineStr">
        <is>
          <t>+1.80%</t>
        </is>
      </c>
      <c r="E61" s="10" t="inlineStr">
        <is>
          <t>+1.40%</t>
        </is>
      </c>
      <c r="F61" s="10" t="inlineStr">
        <is>
          <t>+0.40%</t>
        </is>
      </c>
      <c r="G61" s="9" t="inlineStr">
        <is>
          <t>2.1700</t>
        </is>
      </c>
      <c r="H61" s="10" t="inlineStr">
        <is>
          <t>$217.00</t>
        </is>
      </c>
    </row>
    <row r="62">
      <c r="B62" s="7" t="n">
        <v>57</v>
      </c>
      <c r="C62" s="7" t="inlineStr">
        <is>
          <t>2024-09-30</t>
        </is>
      </c>
      <c r="D62" s="8" t="inlineStr">
        <is>
          <t>+1.50%</t>
        </is>
      </c>
      <c r="E62" s="8" t="inlineStr">
        <is>
          <t>+1.20%</t>
        </is>
      </c>
      <c r="F62" s="8" t="inlineStr">
        <is>
          <t>+0.30%</t>
        </is>
      </c>
      <c r="G62" s="7" t="inlineStr">
        <is>
          <t>2.2025</t>
        </is>
      </c>
      <c r="H62" s="8" t="inlineStr">
        <is>
          <t>$220.25</t>
        </is>
      </c>
    </row>
    <row r="63">
      <c r="B63" s="9" t="n">
        <v>58</v>
      </c>
      <c r="C63" s="9" t="inlineStr">
        <is>
          <t>2024-10-31</t>
        </is>
      </c>
      <c r="D63" s="10" t="inlineStr">
        <is>
          <t>+1.90%</t>
        </is>
      </c>
      <c r="E63" s="10" t="inlineStr">
        <is>
          <t>+1.50%</t>
        </is>
      </c>
      <c r="F63" s="10" t="inlineStr">
        <is>
          <t>+0.40%</t>
        </is>
      </c>
      <c r="G63" s="9" t="inlineStr">
        <is>
          <t>2.2444</t>
        </is>
      </c>
      <c r="H63" s="10" t="inlineStr">
        <is>
          <t>$224.44</t>
        </is>
      </c>
    </row>
    <row r="64">
      <c r="B64" s="7" t="n">
        <v>59</v>
      </c>
      <c r="C64" s="7" t="inlineStr">
        <is>
          <t>2024-11-30</t>
        </is>
      </c>
      <c r="D64" s="8" t="inlineStr">
        <is>
          <t>+2.30%</t>
        </is>
      </c>
      <c r="E64" s="8" t="inlineStr">
        <is>
          <t>+1.90%</t>
        </is>
      </c>
      <c r="F64" s="8" t="inlineStr">
        <is>
          <t>+0.40%</t>
        </is>
      </c>
      <c r="G64" s="7" t="inlineStr">
        <is>
          <t>2.2960</t>
        </is>
      </c>
      <c r="H64" s="8" t="inlineStr">
        <is>
          <t>$229.60</t>
        </is>
      </c>
    </row>
    <row r="65">
      <c r="B65" s="9" t="n">
        <v>60</v>
      </c>
      <c r="C65" s="9" t="inlineStr">
        <is>
          <t>2024-12-31</t>
        </is>
      </c>
      <c r="D65" s="10" t="inlineStr">
        <is>
          <t>+1.60%</t>
        </is>
      </c>
      <c r="E65" s="10" t="inlineStr">
        <is>
          <t>+1.30%</t>
        </is>
      </c>
      <c r="F65" s="10" t="inlineStr">
        <is>
          <t>+0.30%</t>
        </is>
      </c>
      <c r="G65" s="9" t="inlineStr">
        <is>
          <t>2.3327</t>
        </is>
      </c>
      <c r="H65" s="10" t="inlineStr">
        <is>
          <t>$233.27</t>
        </is>
      </c>
    </row>
    <row r="67">
      <c r="B67" s="20" t="inlineStr">
        <is>
          <t>TOTAL</t>
        </is>
      </c>
      <c r="C67" s="21" t="n"/>
      <c r="D67" s="22" t="inlineStr">
        <is>
          <t>+82.42%</t>
        </is>
      </c>
      <c r="E67" s="22" t="inlineStr">
        <is>
          <t>+44.29%</t>
        </is>
      </c>
      <c r="F67" s="22" t="inlineStr">
        <is>
          <t>+38.13%</t>
        </is>
      </c>
      <c r="G67" s="20" t="inlineStr">
        <is>
          <t>1.8242</t>
        </is>
      </c>
      <c r="H67" s="22" t="inlineStr">
        <is>
          <t>$182.42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2">
      <c r="B2" s="15" t="inlineStr">
        <is>
          <t>CUMULATIVE RETURN - STEP BY STEP</t>
        </is>
      </c>
    </row>
    <row r="4">
      <c r="B4" s="6" t="inlineStr">
        <is>
          <t>#</t>
        </is>
      </c>
      <c r="C4" s="6" t="inlineStr">
        <is>
          <t>Date</t>
        </is>
      </c>
      <c r="D4" s="6" t="inlineStr">
        <is>
          <t>Return</t>
        </is>
      </c>
      <c r="E4" s="6" t="inlineStr">
        <is>
          <t>1+R</t>
        </is>
      </c>
      <c r="F4" s="6" t="inlineStr">
        <is>
          <t>Product</t>
        </is>
      </c>
      <c r="G4" s="6" t="inlineStr">
        <is>
          <t>Calculation</t>
        </is>
      </c>
      <c r="H4" s="6" t="inlineStr">
        <is>
          <t>Value</t>
        </is>
      </c>
    </row>
    <row r="5">
      <c r="B5" s="7" t="n">
        <v>1</v>
      </c>
      <c r="C5" s="7" t="inlineStr">
        <is>
          <t>2020-01</t>
        </is>
      </c>
      <c r="D5" s="8" t="inlineStr">
        <is>
          <t>+2.10%</t>
        </is>
      </c>
      <c r="E5" s="7" t="inlineStr">
        <is>
          <t>1.0210</t>
        </is>
      </c>
      <c r="F5" s="7" t="inlineStr">
        <is>
          <t>1.0210</t>
        </is>
      </c>
      <c r="G5" s="23" t="inlineStr">
        <is>
          <t>1.000×1.021</t>
        </is>
      </c>
      <c r="H5" s="8" t="inlineStr">
        <is>
          <t>$102.10</t>
        </is>
      </c>
    </row>
    <row r="6">
      <c r="B6" s="9" t="n">
        <v>2</v>
      </c>
      <c r="C6" s="9" t="inlineStr">
        <is>
          <t>2020-02</t>
        </is>
      </c>
      <c r="D6" s="10" t="inlineStr">
        <is>
          <t>+1.85%</t>
        </is>
      </c>
      <c r="E6" s="9" t="inlineStr">
        <is>
          <t>1.0185</t>
        </is>
      </c>
      <c r="F6" s="9" t="inlineStr">
        <is>
          <t>1.0399</t>
        </is>
      </c>
      <c r="G6" s="24" t="inlineStr">
        <is>
          <t>1.021×1.018</t>
        </is>
      </c>
      <c r="H6" s="10" t="inlineStr">
        <is>
          <t>$103.99</t>
        </is>
      </c>
    </row>
    <row r="7">
      <c r="B7" s="7" t="n">
        <v>3</v>
      </c>
      <c r="C7" s="7" t="inlineStr">
        <is>
          <t>2020-03</t>
        </is>
      </c>
      <c r="D7" s="19" t="inlineStr">
        <is>
          <t>-3.20%</t>
        </is>
      </c>
      <c r="E7" s="7" t="inlineStr">
        <is>
          <t>0.9680</t>
        </is>
      </c>
      <c r="F7" s="7" t="inlineStr">
        <is>
          <t>1.0066</t>
        </is>
      </c>
      <c r="G7" s="23" t="inlineStr">
        <is>
          <t>1.040×0.968</t>
        </is>
      </c>
      <c r="H7" s="8" t="inlineStr">
        <is>
          <t>$100.66</t>
        </is>
      </c>
    </row>
    <row r="8">
      <c r="B8" s="9" t="n">
        <v>4</v>
      </c>
      <c r="C8" s="9" t="inlineStr">
        <is>
          <t>2020-04</t>
        </is>
      </c>
      <c r="D8" s="10" t="inlineStr">
        <is>
          <t>+4.50%</t>
        </is>
      </c>
      <c r="E8" s="9" t="inlineStr">
        <is>
          <t>1.0450</t>
        </is>
      </c>
      <c r="F8" s="9" t="inlineStr">
        <is>
          <t>1.0519</t>
        </is>
      </c>
      <c r="G8" s="24" t="inlineStr">
        <is>
          <t>1.007×1.045</t>
        </is>
      </c>
      <c r="H8" s="10" t="inlineStr">
        <is>
          <t>$105.19</t>
        </is>
      </c>
    </row>
    <row r="9">
      <c r="B9" s="7" t="n">
        <v>5</v>
      </c>
      <c r="C9" s="7" t="inlineStr">
        <is>
          <t>2020-05</t>
        </is>
      </c>
      <c r="D9" s="8" t="inlineStr">
        <is>
          <t>+2.80%</t>
        </is>
      </c>
      <c r="E9" s="7" t="inlineStr">
        <is>
          <t>1.0280</t>
        </is>
      </c>
      <c r="F9" s="7" t="inlineStr">
        <is>
          <t>1.0814</t>
        </is>
      </c>
      <c r="G9" s="23" t="inlineStr">
        <is>
          <t>1.052×1.028</t>
        </is>
      </c>
      <c r="H9" s="8" t="inlineStr">
        <is>
          <t>$108.14</t>
        </is>
      </c>
    </row>
    <row r="10">
      <c r="B10" s="9" t="n">
        <v>6</v>
      </c>
      <c r="C10" s="9" t="inlineStr">
        <is>
          <t>2020-06</t>
        </is>
      </c>
      <c r="D10" s="10" t="inlineStr">
        <is>
          <t>+1.95%</t>
        </is>
      </c>
      <c r="E10" s="9" t="inlineStr">
        <is>
          <t>1.0195</t>
        </is>
      </c>
      <c r="F10" s="9" t="inlineStr">
        <is>
          <t>1.1024</t>
        </is>
      </c>
      <c r="G10" s="24" t="inlineStr">
        <is>
          <t>1.081×1.020</t>
        </is>
      </c>
      <c r="H10" s="10" t="inlineStr">
        <is>
          <t>$110.24</t>
        </is>
      </c>
    </row>
    <row r="11">
      <c r="B11" s="7" t="n">
        <v>7</v>
      </c>
      <c r="C11" s="7" t="inlineStr">
        <is>
          <t>2020-07</t>
        </is>
      </c>
      <c r="D11" s="8" t="inlineStr">
        <is>
          <t>+3.10%</t>
        </is>
      </c>
      <c r="E11" s="7" t="inlineStr">
        <is>
          <t>1.0310</t>
        </is>
      </c>
      <c r="F11" s="7" t="inlineStr">
        <is>
          <t>1.1366</t>
        </is>
      </c>
      <c r="G11" s="23" t="inlineStr">
        <is>
          <t>1.102×1.031</t>
        </is>
      </c>
      <c r="H11" s="8" t="inlineStr">
        <is>
          <t>$113.66</t>
        </is>
      </c>
    </row>
    <row r="12">
      <c r="B12" s="9" t="n">
        <v>8</v>
      </c>
      <c r="C12" s="9" t="inlineStr">
        <is>
          <t>2020-08</t>
        </is>
      </c>
      <c r="D12" s="10" t="inlineStr">
        <is>
          <t>+2.45%</t>
        </is>
      </c>
      <c r="E12" s="9" t="inlineStr">
        <is>
          <t>1.0245</t>
        </is>
      </c>
      <c r="F12" s="9" t="inlineStr">
        <is>
          <t>1.1645</t>
        </is>
      </c>
      <c r="G12" s="24" t="inlineStr">
        <is>
          <t>1.137×1.024</t>
        </is>
      </c>
      <c r="H12" s="10" t="inlineStr">
        <is>
          <t>$116.45</t>
        </is>
      </c>
    </row>
    <row r="13">
      <c r="B13" s="7" t="n">
        <v>9</v>
      </c>
      <c r="C13" s="7" t="inlineStr">
        <is>
          <t>2020-09</t>
        </is>
      </c>
      <c r="D13" s="19" t="inlineStr">
        <is>
          <t>-1.80%</t>
        </is>
      </c>
      <c r="E13" s="7" t="inlineStr">
        <is>
          <t>0.9820</t>
        </is>
      </c>
      <c r="F13" s="7" t="inlineStr">
        <is>
          <t>1.1435</t>
        </is>
      </c>
      <c r="G13" s="23" t="inlineStr">
        <is>
          <t>1.164×0.982</t>
        </is>
      </c>
      <c r="H13" s="8" t="inlineStr">
        <is>
          <t>$114.35</t>
        </is>
      </c>
    </row>
    <row r="14">
      <c r="B14" s="9" t="n">
        <v>10</v>
      </c>
      <c r="C14" s="9" t="inlineStr">
        <is>
          <t>2020-10</t>
        </is>
      </c>
      <c r="D14" s="10" t="inlineStr">
        <is>
          <t>+2.90%</t>
        </is>
      </c>
      <c r="E14" s="9" t="inlineStr">
        <is>
          <t>1.0290</t>
        </is>
      </c>
      <c r="F14" s="9" t="inlineStr">
        <is>
          <t>1.1767</t>
        </is>
      </c>
      <c r="G14" s="24" t="inlineStr">
        <is>
          <t>1.144×1.029</t>
        </is>
      </c>
      <c r="H14" s="10" t="inlineStr">
        <is>
          <t>$117.67</t>
        </is>
      </c>
    </row>
    <row r="15">
      <c r="B15" s="7" t="n">
        <v>11</v>
      </c>
      <c r="C15" s="7" t="inlineStr">
        <is>
          <t>2020-11</t>
        </is>
      </c>
      <c r="D15" s="8" t="inlineStr">
        <is>
          <t>+4.20%</t>
        </is>
      </c>
      <c r="E15" s="7" t="inlineStr">
        <is>
          <t>1.0420</t>
        </is>
      </c>
      <c r="F15" s="7" t="inlineStr">
        <is>
          <t>1.2261</t>
        </is>
      </c>
      <c r="G15" s="23" t="inlineStr">
        <is>
          <t>1.177×1.042</t>
        </is>
      </c>
      <c r="H15" s="8" t="inlineStr">
        <is>
          <t>$122.61</t>
        </is>
      </c>
    </row>
    <row r="16">
      <c r="B16" s="9" t="n">
        <v>12</v>
      </c>
      <c r="C16" s="9" t="inlineStr">
        <is>
          <t>2020-12</t>
        </is>
      </c>
      <c r="D16" s="10" t="inlineStr">
        <is>
          <t>+3.15%</t>
        </is>
      </c>
      <c r="E16" s="9" t="inlineStr">
        <is>
          <t>1.0315</t>
        </is>
      </c>
      <c r="F16" s="9" t="inlineStr">
        <is>
          <t>1.2647</t>
        </is>
      </c>
      <c r="G16" s="24" t="inlineStr">
        <is>
          <t>1.226×1.032</t>
        </is>
      </c>
      <c r="H16" s="10" t="inlineStr">
        <is>
          <t>$126.47</t>
        </is>
      </c>
    </row>
    <row r="17">
      <c r="B17" s="7" t="n">
        <v>13</v>
      </c>
      <c r="C17" s="7" t="inlineStr">
        <is>
          <t>2021-01</t>
        </is>
      </c>
      <c r="D17" s="8" t="inlineStr">
        <is>
          <t>+1.95%</t>
        </is>
      </c>
      <c r="E17" s="7" t="inlineStr">
        <is>
          <t>1.0195</t>
        </is>
      </c>
      <c r="F17" s="7" t="inlineStr">
        <is>
          <t>1.2894</t>
        </is>
      </c>
      <c r="G17" s="23" t="inlineStr">
        <is>
          <t>1.265×1.020</t>
        </is>
      </c>
      <c r="H17" s="8" t="inlineStr">
        <is>
          <t>$128.94</t>
        </is>
      </c>
    </row>
    <row r="18">
      <c r="B18" s="9" t="n">
        <v>14</v>
      </c>
      <c r="C18" s="9" t="inlineStr">
        <is>
          <t>2021-02</t>
        </is>
      </c>
      <c r="D18" s="10" t="inlineStr">
        <is>
          <t>+2.30%</t>
        </is>
      </c>
      <c r="E18" s="9" t="inlineStr">
        <is>
          <t>1.0230</t>
        </is>
      </c>
      <c r="F18" s="9" t="inlineStr">
        <is>
          <t>1.3190</t>
        </is>
      </c>
      <c r="G18" s="24" t="inlineStr">
        <is>
          <t>1.289×1.023</t>
        </is>
      </c>
      <c r="H18" s="10" t="inlineStr">
        <is>
          <t>$131.90</t>
        </is>
      </c>
    </row>
    <row r="19">
      <c r="B19" s="7" t="n">
        <v>15</v>
      </c>
      <c r="C19" s="7" t="inlineStr">
        <is>
          <t>2021-03</t>
        </is>
      </c>
      <c r="D19" s="8" t="inlineStr">
        <is>
          <t>+1.80%</t>
        </is>
      </c>
      <c r="E19" s="7" t="inlineStr">
        <is>
          <t>1.0180</t>
        </is>
      </c>
      <c r="F19" s="7" t="inlineStr">
        <is>
          <t>1.3428</t>
        </is>
      </c>
      <c r="G19" s="23" t="inlineStr">
        <is>
          <t>1.319×1.018</t>
        </is>
      </c>
      <c r="H19" s="8" t="inlineStr">
        <is>
          <t>$134.28</t>
        </is>
      </c>
    </row>
    <row r="20">
      <c r="B20" s="9" t="n">
        <v>16</v>
      </c>
      <c r="C20" s="9" t="inlineStr">
        <is>
          <t>2021-04</t>
        </is>
      </c>
      <c r="D20" s="10" t="inlineStr">
        <is>
          <t>+2.10%</t>
        </is>
      </c>
      <c r="E20" s="9" t="inlineStr">
        <is>
          <t>1.0210</t>
        </is>
      </c>
      <c r="F20" s="9" t="inlineStr">
        <is>
          <t>1.3710</t>
        </is>
      </c>
      <c r="G20" s="24" t="inlineStr">
        <is>
          <t>1.343×1.021</t>
        </is>
      </c>
      <c r="H20" s="10" t="inlineStr">
        <is>
          <t>$137.10</t>
        </is>
      </c>
    </row>
    <row r="21">
      <c r="B21" s="7" t="n">
        <v>17</v>
      </c>
      <c r="C21" s="7" t="inlineStr">
        <is>
          <t>2021-05</t>
        </is>
      </c>
      <c r="D21" s="19" t="inlineStr">
        <is>
          <t>-0.90%</t>
        </is>
      </c>
      <c r="E21" s="7" t="inlineStr">
        <is>
          <t>0.9910</t>
        </is>
      </c>
      <c r="F21" s="7" t="inlineStr">
        <is>
          <t>1.3586</t>
        </is>
      </c>
      <c r="G21" s="23" t="inlineStr">
        <is>
          <t>1.371×0.991</t>
        </is>
      </c>
      <c r="H21" s="8" t="inlineStr">
        <is>
          <t>$135.86</t>
        </is>
      </c>
    </row>
    <row r="22">
      <c r="B22" s="9" t="n">
        <v>18</v>
      </c>
      <c r="C22" s="9" t="inlineStr">
        <is>
          <t>2021-06</t>
        </is>
      </c>
      <c r="D22" s="10" t="inlineStr">
        <is>
          <t>+2.45%</t>
        </is>
      </c>
      <c r="E22" s="9" t="inlineStr">
        <is>
          <t>1.0245</t>
        </is>
      </c>
      <c r="F22" s="9" t="inlineStr">
        <is>
          <t>1.3919</t>
        </is>
      </c>
      <c r="G22" s="24" t="inlineStr">
        <is>
          <t>1.359×1.024</t>
        </is>
      </c>
      <c r="H22" s="10" t="inlineStr">
        <is>
          <t>$139.19</t>
        </is>
      </c>
    </row>
    <row r="23">
      <c r="B23" s="7" t="n">
        <v>19</v>
      </c>
      <c r="C23" s="7" t="inlineStr">
        <is>
          <t>2021-07</t>
        </is>
      </c>
      <c r="D23" s="8" t="inlineStr">
        <is>
          <t>+1.70%</t>
        </is>
      </c>
      <c r="E23" s="7" t="inlineStr">
        <is>
          <t>1.0170</t>
        </is>
      </c>
      <c r="F23" s="7" t="inlineStr">
        <is>
          <t>1.4156</t>
        </is>
      </c>
      <c r="G23" s="23" t="inlineStr">
        <is>
          <t>1.392×1.017</t>
        </is>
      </c>
      <c r="H23" s="8" t="inlineStr">
        <is>
          <t>$141.56</t>
        </is>
      </c>
    </row>
    <row r="24">
      <c r="B24" s="9" t="n">
        <v>20</v>
      </c>
      <c r="C24" s="9" t="inlineStr">
        <is>
          <t>2021-08</t>
        </is>
      </c>
      <c r="D24" s="10" t="inlineStr">
        <is>
          <t>+2.85%</t>
        </is>
      </c>
      <c r="E24" s="9" t="inlineStr">
        <is>
          <t>1.0285</t>
        </is>
      </c>
      <c r="F24" s="9" t="inlineStr">
        <is>
          <t>1.4559</t>
        </is>
      </c>
      <c r="G24" s="24" t="inlineStr">
        <is>
          <t>1.416×1.028</t>
        </is>
      </c>
      <c r="H24" s="10" t="inlineStr">
        <is>
          <t>$145.59</t>
        </is>
      </c>
    </row>
    <row r="25">
      <c r="B25" s="7" t="n">
        <v>21</v>
      </c>
      <c r="C25" s="7" t="inlineStr">
        <is>
          <t>2021-09</t>
        </is>
      </c>
      <c r="D25" s="19" t="inlineStr">
        <is>
          <t>-2.10%</t>
        </is>
      </c>
      <c r="E25" s="7" t="inlineStr">
        <is>
          <t>0.9790</t>
        </is>
      </c>
      <c r="F25" s="7" t="inlineStr">
        <is>
          <t>1.4254</t>
        </is>
      </c>
      <c r="G25" s="23" t="inlineStr">
        <is>
          <t>1.456×0.979</t>
        </is>
      </c>
      <c r="H25" s="8" t="inlineStr">
        <is>
          <t>$142.54</t>
        </is>
      </c>
    </row>
    <row r="26">
      <c r="B26" s="9" t="n">
        <v>22</v>
      </c>
      <c r="C26" s="9" t="inlineStr">
        <is>
          <t>2021-10</t>
        </is>
      </c>
      <c r="D26" s="10" t="inlineStr">
        <is>
          <t>+3.20%</t>
        </is>
      </c>
      <c r="E26" s="9" t="inlineStr">
        <is>
          <t>1.0320</t>
        </is>
      </c>
      <c r="F26" s="9" t="inlineStr">
        <is>
          <t>1.4710</t>
        </is>
      </c>
      <c r="G26" s="24" t="inlineStr">
        <is>
          <t>1.425×1.032</t>
        </is>
      </c>
      <c r="H26" s="10" t="inlineStr">
        <is>
          <t>$147.10</t>
        </is>
      </c>
    </row>
    <row r="27">
      <c r="B27" s="7" t="n">
        <v>23</v>
      </c>
      <c r="C27" s="7" t="inlineStr">
        <is>
          <t>2021-11</t>
        </is>
      </c>
      <c r="D27" s="8" t="inlineStr">
        <is>
          <t>+1.95%</t>
        </is>
      </c>
      <c r="E27" s="7" t="inlineStr">
        <is>
          <t>1.0195</t>
        </is>
      </c>
      <c r="F27" s="7" t="inlineStr">
        <is>
          <t>1.4997</t>
        </is>
      </c>
      <c r="G27" s="23" t="inlineStr">
        <is>
          <t>1.471×1.020</t>
        </is>
      </c>
      <c r="H27" s="8" t="inlineStr">
        <is>
          <t>$149.97</t>
        </is>
      </c>
    </row>
    <row r="28">
      <c r="B28" s="9" t="n">
        <v>24</v>
      </c>
      <c r="C28" s="9" t="inlineStr">
        <is>
          <t>2021-12</t>
        </is>
      </c>
      <c r="D28" s="10" t="inlineStr">
        <is>
          <t>+2.80%</t>
        </is>
      </c>
      <c r="E28" s="9" t="inlineStr">
        <is>
          <t>1.0280</t>
        </is>
      </c>
      <c r="F28" s="9" t="inlineStr">
        <is>
          <t>1.5416</t>
        </is>
      </c>
      <c r="G28" s="24" t="inlineStr">
        <is>
          <t>1.500×1.028</t>
        </is>
      </c>
      <c r="H28" s="10" t="inlineStr">
        <is>
          <t>$154.16</t>
        </is>
      </c>
    </row>
    <row r="29">
      <c r="B29" s="7" t="n">
        <v>25</v>
      </c>
      <c r="C29" s="7" t="inlineStr">
        <is>
          <t>2022-01</t>
        </is>
      </c>
      <c r="D29" s="19" t="inlineStr">
        <is>
          <t>-1.50%</t>
        </is>
      </c>
      <c r="E29" s="7" t="inlineStr">
        <is>
          <t>0.9850</t>
        </is>
      </c>
      <c r="F29" s="7" t="inlineStr">
        <is>
          <t>1.5185</t>
        </is>
      </c>
      <c r="G29" s="23" t="inlineStr">
        <is>
          <t>1.542×0.985</t>
        </is>
      </c>
      <c r="H29" s="8" t="inlineStr">
        <is>
          <t>$151.85</t>
        </is>
      </c>
    </row>
    <row r="30">
      <c r="B30" s="9" t="n">
        <v>26</v>
      </c>
      <c r="C30" s="9" t="inlineStr">
        <is>
          <t>2022-02</t>
        </is>
      </c>
      <c r="D30" s="11" t="inlineStr">
        <is>
          <t>-2.80%</t>
        </is>
      </c>
      <c r="E30" s="9" t="inlineStr">
        <is>
          <t>0.9720</t>
        </is>
      </c>
      <c r="F30" s="9" t="inlineStr">
        <is>
          <t>1.4760</t>
        </is>
      </c>
      <c r="G30" s="24" t="inlineStr">
        <is>
          <t>1.519×0.972</t>
        </is>
      </c>
      <c r="H30" s="10" t="inlineStr">
        <is>
          <t>$147.60</t>
        </is>
      </c>
    </row>
    <row r="31">
      <c r="B31" s="7" t="n">
        <v>27</v>
      </c>
      <c r="C31" s="7" t="inlineStr">
        <is>
          <t>2022-03</t>
        </is>
      </c>
      <c r="D31" s="8" t="inlineStr">
        <is>
          <t>+1.20%</t>
        </is>
      </c>
      <c r="E31" s="7" t="inlineStr">
        <is>
          <t>1.0120</t>
        </is>
      </c>
      <c r="F31" s="7" t="inlineStr">
        <is>
          <t>1.4937</t>
        </is>
      </c>
      <c r="G31" s="23" t="inlineStr">
        <is>
          <t>1.476×1.012</t>
        </is>
      </c>
      <c r="H31" s="8" t="inlineStr">
        <is>
          <t>$149.37</t>
        </is>
      </c>
    </row>
    <row r="32">
      <c r="B32" s="9" t="n">
        <v>28</v>
      </c>
      <c r="C32" s="9" t="inlineStr">
        <is>
          <t>2022-04</t>
        </is>
      </c>
      <c r="D32" s="11" t="inlineStr">
        <is>
          <t>-1.90%</t>
        </is>
      </c>
      <c r="E32" s="9" t="inlineStr">
        <is>
          <t>0.9810</t>
        </is>
      </c>
      <c r="F32" s="9" t="inlineStr">
        <is>
          <t>1.4653</t>
        </is>
      </c>
      <c r="G32" s="24" t="inlineStr">
        <is>
          <t>1.494×0.981</t>
        </is>
      </c>
      <c r="H32" s="10" t="inlineStr">
        <is>
          <t>$146.53</t>
        </is>
      </c>
    </row>
    <row r="33">
      <c r="B33" s="7" t="n">
        <v>29</v>
      </c>
      <c r="C33" s="7" t="inlineStr">
        <is>
          <t>2022-05</t>
        </is>
      </c>
      <c r="D33" s="19" t="inlineStr">
        <is>
          <t>-3.40%</t>
        </is>
      </c>
      <c r="E33" s="7" t="inlineStr">
        <is>
          <t>0.9660</t>
        </is>
      </c>
      <c r="F33" s="7" t="inlineStr">
        <is>
          <t>1.4155</t>
        </is>
      </c>
      <c r="G33" s="23" t="inlineStr">
        <is>
          <t>1.465×0.966</t>
        </is>
      </c>
      <c r="H33" s="8" t="inlineStr">
        <is>
          <t>$141.55</t>
        </is>
      </c>
    </row>
    <row r="34">
      <c r="B34" s="9" t="n">
        <v>30</v>
      </c>
      <c r="C34" s="9" t="inlineStr">
        <is>
          <t>2022-06</t>
        </is>
      </c>
      <c r="D34" s="11" t="inlineStr">
        <is>
          <t>-2.10%</t>
        </is>
      </c>
      <c r="E34" s="9" t="inlineStr">
        <is>
          <t>0.9790</t>
        </is>
      </c>
      <c r="F34" s="9" t="inlineStr">
        <is>
          <t>1.3858</t>
        </is>
      </c>
      <c r="G34" s="24" t="inlineStr">
        <is>
          <t>1.416×0.979</t>
        </is>
      </c>
      <c r="H34" s="10" t="inlineStr">
        <is>
          <t>$138.58</t>
        </is>
      </c>
    </row>
    <row r="35">
      <c r="B35" s="7" t="n">
        <v>31</v>
      </c>
      <c r="C35" s="7" t="inlineStr">
        <is>
          <t>2022-07</t>
        </is>
      </c>
      <c r="D35" s="8" t="inlineStr">
        <is>
          <t>+2.50%</t>
        </is>
      </c>
      <c r="E35" s="7" t="inlineStr">
        <is>
          <t>1.0250</t>
        </is>
      </c>
      <c r="F35" s="7" t="inlineStr">
        <is>
          <t>1.4204</t>
        </is>
      </c>
      <c r="G35" s="23" t="inlineStr">
        <is>
          <t>1.386×1.025</t>
        </is>
      </c>
      <c r="H35" s="8" t="inlineStr">
        <is>
          <t>$142.04</t>
        </is>
      </c>
    </row>
    <row r="36">
      <c r="B36" s="9" t="n">
        <v>32</v>
      </c>
      <c r="C36" s="9" t="inlineStr">
        <is>
          <t>2022-08</t>
        </is>
      </c>
      <c r="D36" s="10" t="inlineStr">
        <is>
          <t>+1.80%</t>
        </is>
      </c>
      <c r="E36" s="9" t="inlineStr">
        <is>
          <t>1.0180</t>
        </is>
      </c>
      <c r="F36" s="9" t="inlineStr">
        <is>
          <t>1.4460</t>
        </is>
      </c>
      <c r="G36" s="24" t="inlineStr">
        <is>
          <t>1.420×1.018</t>
        </is>
      </c>
      <c r="H36" s="10" t="inlineStr">
        <is>
          <t>$144.60</t>
        </is>
      </c>
    </row>
    <row r="37">
      <c r="B37" s="7" t="n">
        <v>33</v>
      </c>
      <c r="C37" s="7" t="inlineStr">
        <is>
          <t>2022-09</t>
        </is>
      </c>
      <c r="D37" s="19" t="inlineStr">
        <is>
          <t>-4.20%</t>
        </is>
      </c>
      <c r="E37" s="7" t="inlineStr">
        <is>
          <t>0.9580</t>
        </is>
      </c>
      <c r="F37" s="7" t="inlineStr">
        <is>
          <t>1.3853</t>
        </is>
      </c>
      <c r="G37" s="23" t="inlineStr">
        <is>
          <t>1.446×0.958</t>
        </is>
      </c>
      <c r="H37" s="8" t="inlineStr">
        <is>
          <t>$138.53</t>
        </is>
      </c>
    </row>
    <row r="38">
      <c r="B38" s="9" t="n">
        <v>34</v>
      </c>
      <c r="C38" s="9" t="inlineStr">
        <is>
          <t>2022-10</t>
        </is>
      </c>
      <c r="D38" s="10" t="inlineStr">
        <is>
          <t>+3.10%</t>
        </is>
      </c>
      <c r="E38" s="9" t="inlineStr">
        <is>
          <t>1.0310</t>
        </is>
      </c>
      <c r="F38" s="9" t="inlineStr">
        <is>
          <t>1.4282</t>
        </is>
      </c>
      <c r="G38" s="24" t="inlineStr">
        <is>
          <t>1.385×1.031</t>
        </is>
      </c>
      <c r="H38" s="10" t="inlineStr">
        <is>
          <t>$142.82</t>
        </is>
      </c>
    </row>
    <row r="39">
      <c r="B39" s="7" t="n">
        <v>35</v>
      </c>
      <c r="C39" s="7" t="inlineStr">
        <is>
          <t>2022-11</t>
        </is>
      </c>
      <c r="D39" s="8" t="inlineStr">
        <is>
          <t>+2.40%</t>
        </is>
      </c>
      <c r="E39" s="7" t="inlineStr">
        <is>
          <t>1.0240</t>
        </is>
      </c>
      <c r="F39" s="7" t="inlineStr">
        <is>
          <t>1.4625</t>
        </is>
      </c>
      <c r="G39" s="23" t="inlineStr">
        <is>
          <t>1.428×1.024</t>
        </is>
      </c>
      <c r="H39" s="8" t="inlineStr">
        <is>
          <t>$146.25</t>
        </is>
      </c>
    </row>
    <row r="40">
      <c r="B40" s="9" t="n">
        <v>36</v>
      </c>
      <c r="C40" s="9" t="inlineStr">
        <is>
          <t>2022-12</t>
        </is>
      </c>
      <c r="D40" s="10" t="inlineStr">
        <is>
          <t>+1.90%</t>
        </is>
      </c>
      <c r="E40" s="9" t="inlineStr">
        <is>
          <t>1.0190</t>
        </is>
      </c>
      <c r="F40" s="9" t="inlineStr">
        <is>
          <t>1.4903</t>
        </is>
      </c>
      <c r="G40" s="24" t="inlineStr">
        <is>
          <t>1.462×1.019</t>
        </is>
      </c>
      <c r="H40" s="10" t="inlineStr">
        <is>
          <t>$149.03</t>
        </is>
      </c>
    </row>
    <row r="41">
      <c r="B41" s="7" t="n">
        <v>37</v>
      </c>
      <c r="C41" s="7" t="inlineStr">
        <is>
          <t>2023-01</t>
        </is>
      </c>
      <c r="D41" s="8" t="inlineStr">
        <is>
          <t>+2.80%</t>
        </is>
      </c>
      <c r="E41" s="7" t="inlineStr">
        <is>
          <t>1.0280</t>
        </is>
      </c>
      <c r="F41" s="7" t="inlineStr">
        <is>
          <t>1.5320</t>
        </is>
      </c>
      <c r="G41" s="23" t="inlineStr">
        <is>
          <t>1.490×1.028</t>
        </is>
      </c>
      <c r="H41" s="8" t="inlineStr">
        <is>
          <t>$153.20</t>
        </is>
      </c>
    </row>
    <row r="42">
      <c r="B42" s="9" t="n">
        <v>38</v>
      </c>
      <c r="C42" s="9" t="inlineStr">
        <is>
          <t>2023-02</t>
        </is>
      </c>
      <c r="D42" s="10" t="inlineStr">
        <is>
          <t>+1.90%</t>
        </is>
      </c>
      <c r="E42" s="9" t="inlineStr">
        <is>
          <t>1.0190</t>
        </is>
      </c>
      <c r="F42" s="9" t="inlineStr">
        <is>
          <t>1.5611</t>
        </is>
      </c>
      <c r="G42" s="24" t="inlineStr">
        <is>
          <t>1.532×1.019</t>
        </is>
      </c>
      <c r="H42" s="10" t="inlineStr">
        <is>
          <t>$156.11</t>
        </is>
      </c>
    </row>
    <row r="43">
      <c r="B43" s="7" t="n">
        <v>39</v>
      </c>
      <c r="C43" s="7" t="inlineStr">
        <is>
          <t>2023-03</t>
        </is>
      </c>
      <c r="D43" s="8" t="inlineStr">
        <is>
          <t>+2.10%</t>
        </is>
      </c>
      <c r="E43" s="7" t="inlineStr">
        <is>
          <t>1.0210</t>
        </is>
      </c>
      <c r="F43" s="7" t="inlineStr">
        <is>
          <t>1.5939</t>
        </is>
      </c>
      <c r="G43" s="23" t="inlineStr">
        <is>
          <t>1.561×1.021</t>
        </is>
      </c>
      <c r="H43" s="8" t="inlineStr">
        <is>
          <t>$159.39</t>
        </is>
      </c>
    </row>
    <row r="44">
      <c r="B44" s="9" t="n">
        <v>40</v>
      </c>
      <c r="C44" s="9" t="inlineStr">
        <is>
          <t>2023-04</t>
        </is>
      </c>
      <c r="D44" s="10" t="inlineStr">
        <is>
          <t>+1.50%</t>
        </is>
      </c>
      <c r="E44" s="9" t="inlineStr">
        <is>
          <t>1.0150</t>
        </is>
      </c>
      <c r="F44" s="9" t="inlineStr">
        <is>
          <t>1.6178</t>
        </is>
      </c>
      <c r="G44" s="24" t="inlineStr">
        <is>
          <t>1.594×1.015</t>
        </is>
      </c>
      <c r="H44" s="10" t="inlineStr">
        <is>
          <t>$161.78</t>
        </is>
      </c>
    </row>
    <row r="45">
      <c r="B45" s="7" t="n">
        <v>41</v>
      </c>
      <c r="C45" s="7" t="inlineStr">
        <is>
          <t>2023-05</t>
        </is>
      </c>
      <c r="D45" s="8" t="inlineStr">
        <is>
          <t>+2.30%</t>
        </is>
      </c>
      <c r="E45" s="7" t="inlineStr">
        <is>
          <t>1.0230</t>
        </is>
      </c>
      <c r="F45" s="7" t="inlineStr">
        <is>
          <t>1.6550</t>
        </is>
      </c>
      <c r="G45" s="23" t="inlineStr">
        <is>
          <t>1.618×1.023</t>
        </is>
      </c>
      <c r="H45" s="8" t="inlineStr">
        <is>
          <t>$165.50</t>
        </is>
      </c>
    </row>
    <row r="46">
      <c r="B46" s="9" t="n">
        <v>42</v>
      </c>
      <c r="C46" s="9" t="inlineStr">
        <is>
          <t>2023-06</t>
        </is>
      </c>
      <c r="D46" s="10" t="inlineStr">
        <is>
          <t>+1.80%</t>
        </is>
      </c>
      <c r="E46" s="9" t="inlineStr">
        <is>
          <t>1.0180</t>
        </is>
      </c>
      <c r="F46" s="9" t="inlineStr">
        <is>
          <t>1.6848</t>
        </is>
      </c>
      <c r="G46" s="24" t="inlineStr">
        <is>
          <t>1.655×1.018</t>
        </is>
      </c>
      <c r="H46" s="10" t="inlineStr">
        <is>
          <t>$168.48</t>
        </is>
      </c>
    </row>
    <row r="47">
      <c r="B47" s="7" t="n">
        <v>43</v>
      </c>
      <c r="C47" s="7" t="inlineStr">
        <is>
          <t>2023-07</t>
        </is>
      </c>
      <c r="D47" s="8" t="inlineStr">
        <is>
          <t>+2.40%</t>
        </is>
      </c>
      <c r="E47" s="7" t="inlineStr">
        <is>
          <t>1.0240</t>
        </is>
      </c>
      <c r="F47" s="7" t="inlineStr">
        <is>
          <t>1.7252</t>
        </is>
      </c>
      <c r="G47" s="23" t="inlineStr">
        <is>
          <t>1.685×1.024</t>
        </is>
      </c>
      <c r="H47" s="8" t="inlineStr">
        <is>
          <t>$172.52</t>
        </is>
      </c>
    </row>
    <row r="48">
      <c r="B48" s="9" t="n">
        <v>44</v>
      </c>
      <c r="C48" s="9" t="inlineStr">
        <is>
          <t>2023-08</t>
        </is>
      </c>
      <c r="D48" s="11" t="inlineStr">
        <is>
          <t>-1.20%</t>
        </is>
      </c>
      <c r="E48" s="9" t="inlineStr">
        <is>
          <t>0.9880</t>
        </is>
      </c>
      <c r="F48" s="9" t="inlineStr">
        <is>
          <t>1.7045</t>
        </is>
      </c>
      <c r="G48" s="24" t="inlineStr">
        <is>
          <t>1.725×0.988</t>
        </is>
      </c>
      <c r="H48" s="10" t="inlineStr">
        <is>
          <t>$170.45</t>
        </is>
      </c>
    </row>
    <row r="49">
      <c r="B49" s="7" t="n">
        <v>45</v>
      </c>
      <c r="C49" s="7" t="inlineStr">
        <is>
          <t>2023-09</t>
        </is>
      </c>
      <c r="D49" s="8" t="inlineStr">
        <is>
          <t>+1.90%</t>
        </is>
      </c>
      <c r="E49" s="7" t="inlineStr">
        <is>
          <t>1.0190</t>
        </is>
      </c>
      <c r="F49" s="7" t="inlineStr">
        <is>
          <t>1.7369</t>
        </is>
      </c>
      <c r="G49" s="23" t="inlineStr">
        <is>
          <t>1.705×1.019</t>
        </is>
      </c>
      <c r="H49" s="8" t="inlineStr">
        <is>
          <t>$173.69</t>
        </is>
      </c>
    </row>
    <row r="50">
      <c r="B50" s="9" t="n">
        <v>46</v>
      </c>
      <c r="C50" s="9" t="inlineStr">
        <is>
          <t>2023-10</t>
        </is>
      </c>
      <c r="D50" s="10" t="inlineStr">
        <is>
          <t>+2.10%</t>
        </is>
      </c>
      <c r="E50" s="9" t="inlineStr">
        <is>
          <t>1.0210</t>
        </is>
      </c>
      <c r="F50" s="9" t="inlineStr">
        <is>
          <t>1.7734</t>
        </is>
      </c>
      <c r="G50" s="24" t="inlineStr">
        <is>
          <t>1.737×1.021</t>
        </is>
      </c>
      <c r="H50" s="10" t="inlineStr">
        <is>
          <t>$177.34</t>
        </is>
      </c>
    </row>
    <row r="51">
      <c r="B51" s="7" t="n">
        <v>47</v>
      </c>
      <c r="C51" s="7" t="inlineStr">
        <is>
          <t>2023-11</t>
        </is>
      </c>
      <c r="D51" s="8" t="inlineStr">
        <is>
          <t>+3.20%</t>
        </is>
      </c>
      <c r="E51" s="7" t="inlineStr">
        <is>
          <t>1.0320</t>
        </is>
      </c>
      <c r="F51" s="7" t="inlineStr">
        <is>
          <t>1.8301</t>
        </is>
      </c>
      <c r="G51" s="23" t="inlineStr">
        <is>
          <t>1.773×1.032</t>
        </is>
      </c>
      <c r="H51" s="8" t="inlineStr">
        <is>
          <t>$183.01</t>
        </is>
      </c>
    </row>
    <row r="52">
      <c r="B52" s="9" t="n">
        <v>48</v>
      </c>
      <c r="C52" s="9" t="inlineStr">
        <is>
          <t>2023-12</t>
        </is>
      </c>
      <c r="D52" s="10" t="inlineStr">
        <is>
          <t>+2.50%</t>
        </is>
      </c>
      <c r="E52" s="9" t="inlineStr">
        <is>
          <t>1.0250</t>
        </is>
      </c>
      <c r="F52" s="9" t="inlineStr">
        <is>
          <t>1.8759</t>
        </is>
      </c>
      <c r="G52" s="24" t="inlineStr">
        <is>
          <t>1.830×1.025</t>
        </is>
      </c>
      <c r="H52" s="10" t="inlineStr">
        <is>
          <t>$187.59</t>
        </is>
      </c>
    </row>
    <row r="53">
      <c r="B53" s="7" t="n">
        <v>49</v>
      </c>
      <c r="C53" s="7" t="inlineStr">
        <is>
          <t>2024-01</t>
        </is>
      </c>
      <c r="D53" s="8" t="inlineStr">
        <is>
          <t>+1.80%</t>
        </is>
      </c>
      <c r="E53" s="7" t="inlineStr">
        <is>
          <t>1.0180</t>
        </is>
      </c>
      <c r="F53" s="7" t="inlineStr">
        <is>
          <t>1.9097</t>
        </is>
      </c>
      <c r="G53" s="23" t="inlineStr">
        <is>
          <t>1.876×1.018</t>
        </is>
      </c>
      <c r="H53" s="8" t="inlineStr">
        <is>
          <t>$190.97</t>
        </is>
      </c>
    </row>
    <row r="54">
      <c r="B54" s="9" t="n">
        <v>50</v>
      </c>
      <c r="C54" s="9" t="inlineStr">
        <is>
          <t>2024-02</t>
        </is>
      </c>
      <c r="D54" s="10" t="inlineStr">
        <is>
          <t>+2.10%</t>
        </is>
      </c>
      <c r="E54" s="9" t="inlineStr">
        <is>
          <t>1.0210</t>
        </is>
      </c>
      <c r="F54" s="9" t="inlineStr">
        <is>
          <t>1.9498</t>
        </is>
      </c>
      <c r="G54" s="24" t="inlineStr">
        <is>
          <t>1.910×1.021</t>
        </is>
      </c>
      <c r="H54" s="10" t="inlineStr">
        <is>
          <t>$194.98</t>
        </is>
      </c>
    </row>
    <row r="55">
      <c r="B55" s="7" t="n">
        <v>51</v>
      </c>
      <c r="C55" s="7" t="inlineStr">
        <is>
          <t>2024-03</t>
        </is>
      </c>
      <c r="D55" s="8" t="inlineStr">
        <is>
          <t>+1.50%</t>
        </is>
      </c>
      <c r="E55" s="7" t="inlineStr">
        <is>
          <t>1.0150</t>
        </is>
      </c>
      <c r="F55" s="7" t="inlineStr">
        <is>
          <t>1.9790</t>
        </is>
      </c>
      <c r="G55" s="23" t="inlineStr">
        <is>
          <t>1.950×1.015</t>
        </is>
      </c>
      <c r="H55" s="8" t="inlineStr">
        <is>
          <t>$197.90</t>
        </is>
      </c>
    </row>
    <row r="56">
      <c r="B56" s="9" t="n">
        <v>52</v>
      </c>
      <c r="C56" s="9" t="inlineStr">
        <is>
          <t>2024-04</t>
        </is>
      </c>
      <c r="D56" s="10" t="inlineStr">
        <is>
          <t>+2.30%</t>
        </is>
      </c>
      <c r="E56" s="9" t="inlineStr">
        <is>
          <t>1.0230</t>
        </is>
      </c>
      <c r="F56" s="9" t="inlineStr">
        <is>
          <t>2.0245</t>
        </is>
      </c>
      <c r="G56" s="24" t="inlineStr">
        <is>
          <t>1.979×1.023</t>
        </is>
      </c>
      <c r="H56" s="10" t="inlineStr">
        <is>
          <t>$202.45</t>
        </is>
      </c>
    </row>
    <row r="57">
      <c r="B57" s="7" t="n">
        <v>53</v>
      </c>
      <c r="C57" s="7" t="inlineStr">
        <is>
          <t>2024-05</t>
        </is>
      </c>
      <c r="D57" s="8" t="inlineStr">
        <is>
          <t>+1.20%</t>
        </is>
      </c>
      <c r="E57" s="7" t="inlineStr">
        <is>
          <t>1.0120</t>
        </is>
      </c>
      <c r="F57" s="7" t="inlineStr">
        <is>
          <t>2.0488</t>
        </is>
      </c>
      <c r="G57" s="23" t="inlineStr">
        <is>
          <t>2.025×1.012</t>
        </is>
      </c>
      <c r="H57" s="8" t="inlineStr">
        <is>
          <t>$204.88</t>
        </is>
      </c>
    </row>
    <row r="58">
      <c r="B58" s="9" t="n">
        <v>54</v>
      </c>
      <c r="C58" s="9" t="inlineStr">
        <is>
          <t>2024-06</t>
        </is>
      </c>
      <c r="D58" s="10" t="inlineStr">
        <is>
          <t>+1.90%</t>
        </is>
      </c>
      <c r="E58" s="9" t="inlineStr">
        <is>
          <t>1.0190</t>
        </is>
      </c>
      <c r="F58" s="9" t="inlineStr">
        <is>
          <t>2.0877</t>
        </is>
      </c>
      <c r="G58" s="24" t="inlineStr">
        <is>
          <t>2.049×1.019</t>
        </is>
      </c>
      <c r="H58" s="10" t="inlineStr">
        <is>
          <t>$208.77</t>
        </is>
      </c>
    </row>
    <row r="59">
      <c r="B59" s="7" t="n">
        <v>55</v>
      </c>
      <c r="C59" s="7" t="inlineStr">
        <is>
          <t>2024-07</t>
        </is>
      </c>
      <c r="D59" s="8" t="inlineStr">
        <is>
          <t>+2.10%</t>
        </is>
      </c>
      <c r="E59" s="7" t="inlineStr">
        <is>
          <t>1.0210</t>
        </is>
      </c>
      <c r="F59" s="7" t="inlineStr">
        <is>
          <t>2.1316</t>
        </is>
      </c>
      <c r="G59" s="23" t="inlineStr">
        <is>
          <t>2.088×1.021</t>
        </is>
      </c>
      <c r="H59" s="8" t="inlineStr">
        <is>
          <t>$213.16</t>
        </is>
      </c>
    </row>
    <row r="60">
      <c r="B60" s="9" t="n">
        <v>56</v>
      </c>
      <c r="C60" s="9" t="inlineStr">
        <is>
          <t>2024-08</t>
        </is>
      </c>
      <c r="D60" s="10" t="inlineStr">
        <is>
          <t>+1.80%</t>
        </is>
      </c>
      <c r="E60" s="9" t="inlineStr">
        <is>
          <t>1.0180</t>
        </is>
      </c>
      <c r="F60" s="9" t="inlineStr">
        <is>
          <t>2.1700</t>
        </is>
      </c>
      <c r="G60" s="24" t="inlineStr">
        <is>
          <t>2.132×1.018</t>
        </is>
      </c>
      <c r="H60" s="10" t="inlineStr">
        <is>
          <t>$217.00</t>
        </is>
      </c>
    </row>
    <row r="61">
      <c r="B61" s="7" t="n">
        <v>57</v>
      </c>
      <c r="C61" s="7" t="inlineStr">
        <is>
          <t>2024-09</t>
        </is>
      </c>
      <c r="D61" s="8" t="inlineStr">
        <is>
          <t>+1.50%</t>
        </is>
      </c>
      <c r="E61" s="7" t="inlineStr">
        <is>
          <t>1.0150</t>
        </is>
      </c>
      <c r="F61" s="7" t="inlineStr">
        <is>
          <t>2.2025</t>
        </is>
      </c>
      <c r="G61" s="23" t="inlineStr">
        <is>
          <t>2.170×1.015</t>
        </is>
      </c>
      <c r="H61" s="8" t="inlineStr">
        <is>
          <t>$220.25</t>
        </is>
      </c>
    </row>
    <row r="62">
      <c r="B62" s="9" t="n">
        <v>58</v>
      </c>
      <c r="C62" s="9" t="inlineStr">
        <is>
          <t>2024-10</t>
        </is>
      </c>
      <c r="D62" s="10" t="inlineStr">
        <is>
          <t>+1.90%</t>
        </is>
      </c>
      <c r="E62" s="9" t="inlineStr">
        <is>
          <t>1.0190</t>
        </is>
      </c>
      <c r="F62" s="9" t="inlineStr">
        <is>
          <t>2.2444</t>
        </is>
      </c>
      <c r="G62" s="24" t="inlineStr">
        <is>
          <t>2.203×1.019</t>
        </is>
      </c>
      <c r="H62" s="10" t="inlineStr">
        <is>
          <t>$224.44</t>
        </is>
      </c>
    </row>
    <row r="63">
      <c r="B63" s="7" t="n">
        <v>59</v>
      </c>
      <c r="C63" s="7" t="inlineStr">
        <is>
          <t>2024-11</t>
        </is>
      </c>
      <c r="D63" s="8" t="inlineStr">
        <is>
          <t>+2.30%</t>
        </is>
      </c>
      <c r="E63" s="7" t="inlineStr">
        <is>
          <t>1.0230</t>
        </is>
      </c>
      <c r="F63" s="7" t="inlineStr">
        <is>
          <t>2.2960</t>
        </is>
      </c>
      <c r="G63" s="23" t="inlineStr">
        <is>
          <t>2.244×1.023</t>
        </is>
      </c>
      <c r="H63" s="8" t="inlineStr">
        <is>
          <t>$229.60</t>
        </is>
      </c>
    </row>
    <row r="64">
      <c r="B64" s="9" t="n">
        <v>60</v>
      </c>
      <c r="C64" s="9" t="inlineStr">
        <is>
          <t>2024-12</t>
        </is>
      </c>
      <c r="D64" s="10" t="inlineStr">
        <is>
          <t>+1.60%</t>
        </is>
      </c>
      <c r="E64" s="9" t="inlineStr">
        <is>
          <t>1.0160</t>
        </is>
      </c>
      <c r="F64" s="9" t="inlineStr">
        <is>
          <t>2.3327</t>
        </is>
      </c>
      <c r="G64" s="24" t="inlineStr">
        <is>
          <t>2.296×1.016</t>
        </is>
      </c>
      <c r="H64" s="10" t="inlineStr">
        <is>
          <t>$233.27</t>
        </is>
      </c>
    </row>
    <row r="66">
      <c r="B66" s="3" t="inlineStr">
        <is>
          <t>FINAL RESULT</t>
        </is>
      </c>
    </row>
    <row r="67">
      <c r="B67" s="25" t="inlineStr">
        <is>
          <t>Cumulative = 2.3327 - 1 = 133.27%</t>
        </is>
      </c>
    </row>
    <row r="68">
      <c r="B68" s="26" t="inlineStr">
        <is>
          <t>CAGR = (2.3327)^0.2 - 1 = 18.46%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2">
      <c r="B2" s="15" t="inlineStr">
        <is>
          <t>ANNUAL RETURNS - MONTHLY BREAKDOWN</t>
        </is>
      </c>
    </row>
    <row r="4">
      <c r="B4" s="6" t="inlineStr">
        <is>
          <t>Year</t>
        </is>
      </c>
      <c r="C4" s="6" t="inlineStr">
        <is>
          <t>Jan</t>
        </is>
      </c>
      <c r="D4" s="6" t="inlineStr">
        <is>
          <t>Feb</t>
        </is>
      </c>
      <c r="E4" s="6" t="inlineStr">
        <is>
          <t>Mar</t>
        </is>
      </c>
      <c r="F4" s="6" t="inlineStr">
        <is>
          <t>Apr</t>
        </is>
      </c>
      <c r="G4" s="6" t="inlineStr">
        <is>
          <t>May</t>
        </is>
      </c>
      <c r="H4" s="6" t="inlineStr">
        <is>
          <t>Jun</t>
        </is>
      </c>
      <c r="I4" s="6" t="inlineStr">
        <is>
          <t>Jul</t>
        </is>
      </c>
      <c r="J4" s="6" t="inlineStr">
        <is>
          <t>Aug</t>
        </is>
      </c>
      <c r="K4" s="6" t="inlineStr">
        <is>
          <t>Sep</t>
        </is>
      </c>
      <c r="L4" s="6" t="inlineStr">
        <is>
          <t>Oct</t>
        </is>
      </c>
      <c r="M4" s="6" t="inlineStr">
        <is>
          <t>Nov</t>
        </is>
      </c>
      <c r="N4" s="6" t="inlineStr">
        <is>
          <t>Dec</t>
        </is>
      </c>
      <c r="O4" s="6" t="inlineStr">
        <is>
          <t>Annual</t>
        </is>
      </c>
    </row>
    <row r="5">
      <c r="B5" s="27" t="n">
        <v>2020</v>
      </c>
      <c r="C5" s="8" t="inlineStr">
        <is>
          <t>+2.1%</t>
        </is>
      </c>
      <c r="D5" s="8" t="inlineStr">
        <is>
          <t>+1.9%</t>
        </is>
      </c>
      <c r="E5" s="19" t="inlineStr">
        <is>
          <t>-3.2%</t>
        </is>
      </c>
      <c r="F5" s="8" t="inlineStr">
        <is>
          <t>+4.5%</t>
        </is>
      </c>
      <c r="G5" s="8" t="inlineStr">
        <is>
          <t>+2.8%</t>
        </is>
      </c>
      <c r="H5" s="8" t="inlineStr">
        <is>
          <t>+1.9%</t>
        </is>
      </c>
      <c r="I5" s="8" t="inlineStr">
        <is>
          <t>+3.1%</t>
        </is>
      </c>
      <c r="J5" s="8" t="inlineStr">
        <is>
          <t>+2.5%</t>
        </is>
      </c>
      <c r="K5" s="19" t="inlineStr">
        <is>
          <t>-1.8%</t>
        </is>
      </c>
      <c r="L5" s="8" t="inlineStr">
        <is>
          <t>+2.9%</t>
        </is>
      </c>
      <c r="M5" s="8" t="inlineStr">
        <is>
          <t>+4.2%</t>
        </is>
      </c>
      <c r="N5" s="8" t="inlineStr">
        <is>
          <t>+3.1%</t>
        </is>
      </c>
      <c r="O5" s="22" t="inlineStr">
        <is>
          <t>+26.5%</t>
        </is>
      </c>
    </row>
    <row r="6">
      <c r="B6" s="28" t="n">
        <v>2021</v>
      </c>
      <c r="C6" s="10" t="inlineStr">
        <is>
          <t>+1.9%</t>
        </is>
      </c>
      <c r="D6" s="10" t="inlineStr">
        <is>
          <t>+2.3%</t>
        </is>
      </c>
      <c r="E6" s="10" t="inlineStr">
        <is>
          <t>+1.8%</t>
        </is>
      </c>
      <c r="F6" s="10" t="inlineStr">
        <is>
          <t>+2.1%</t>
        </is>
      </c>
      <c r="G6" s="11" t="inlineStr">
        <is>
          <t>-0.9%</t>
        </is>
      </c>
      <c r="H6" s="10" t="inlineStr">
        <is>
          <t>+2.5%</t>
        </is>
      </c>
      <c r="I6" s="10" t="inlineStr">
        <is>
          <t>+1.7%</t>
        </is>
      </c>
      <c r="J6" s="10" t="inlineStr">
        <is>
          <t>+2.9%</t>
        </is>
      </c>
      <c r="K6" s="11" t="inlineStr">
        <is>
          <t>-2.1%</t>
        </is>
      </c>
      <c r="L6" s="10" t="inlineStr">
        <is>
          <t>+3.2%</t>
        </is>
      </c>
      <c r="M6" s="10" t="inlineStr">
        <is>
          <t>+1.9%</t>
        </is>
      </c>
      <c r="N6" s="10" t="inlineStr">
        <is>
          <t>+2.8%</t>
        </is>
      </c>
      <c r="O6" s="22" t="inlineStr">
        <is>
          <t>+21.9%</t>
        </is>
      </c>
    </row>
    <row r="7">
      <c r="B7" s="27" t="n">
        <v>2022</v>
      </c>
      <c r="C7" s="19" t="inlineStr">
        <is>
          <t>-1.5%</t>
        </is>
      </c>
      <c r="D7" s="19" t="inlineStr">
        <is>
          <t>-2.8%</t>
        </is>
      </c>
      <c r="E7" s="8" t="inlineStr">
        <is>
          <t>+1.2%</t>
        </is>
      </c>
      <c r="F7" s="19" t="inlineStr">
        <is>
          <t>-1.9%</t>
        </is>
      </c>
      <c r="G7" s="19" t="inlineStr">
        <is>
          <t>-3.4%</t>
        </is>
      </c>
      <c r="H7" s="19" t="inlineStr">
        <is>
          <t>-2.1%</t>
        </is>
      </c>
      <c r="I7" s="8" t="inlineStr">
        <is>
          <t>+2.5%</t>
        </is>
      </c>
      <c r="J7" s="8" t="inlineStr">
        <is>
          <t>+1.8%</t>
        </is>
      </c>
      <c r="K7" s="19" t="inlineStr">
        <is>
          <t>-4.2%</t>
        </is>
      </c>
      <c r="L7" s="8" t="inlineStr">
        <is>
          <t>+3.1%</t>
        </is>
      </c>
      <c r="M7" s="8" t="inlineStr">
        <is>
          <t>+2.4%</t>
        </is>
      </c>
      <c r="N7" s="8" t="inlineStr">
        <is>
          <t>+1.9%</t>
        </is>
      </c>
      <c r="O7" s="29" t="inlineStr">
        <is>
          <t>-3.3%</t>
        </is>
      </c>
    </row>
    <row r="8">
      <c r="B8" s="28" t="n">
        <v>2023</v>
      </c>
      <c r="C8" s="10" t="inlineStr">
        <is>
          <t>+2.8%</t>
        </is>
      </c>
      <c r="D8" s="10" t="inlineStr">
        <is>
          <t>+1.9%</t>
        </is>
      </c>
      <c r="E8" s="10" t="inlineStr">
        <is>
          <t>+2.1%</t>
        </is>
      </c>
      <c r="F8" s="10" t="inlineStr">
        <is>
          <t>+1.5%</t>
        </is>
      </c>
      <c r="G8" s="10" t="inlineStr">
        <is>
          <t>+2.3%</t>
        </is>
      </c>
      <c r="H8" s="10" t="inlineStr">
        <is>
          <t>+1.8%</t>
        </is>
      </c>
      <c r="I8" s="10" t="inlineStr">
        <is>
          <t>+2.4%</t>
        </is>
      </c>
      <c r="J8" s="11" t="inlineStr">
        <is>
          <t>-1.2%</t>
        </is>
      </c>
      <c r="K8" s="10" t="inlineStr">
        <is>
          <t>+1.9%</t>
        </is>
      </c>
      <c r="L8" s="10" t="inlineStr">
        <is>
          <t>+2.1%</t>
        </is>
      </c>
      <c r="M8" s="10" t="inlineStr">
        <is>
          <t>+3.2%</t>
        </is>
      </c>
      <c r="N8" s="10" t="inlineStr">
        <is>
          <t>+2.5%</t>
        </is>
      </c>
      <c r="O8" s="22" t="inlineStr">
        <is>
          <t>+25.9%</t>
        </is>
      </c>
    </row>
    <row r="9">
      <c r="B9" s="27" t="n">
        <v>2024</v>
      </c>
      <c r="C9" s="8" t="inlineStr">
        <is>
          <t>+1.8%</t>
        </is>
      </c>
      <c r="D9" s="8" t="inlineStr">
        <is>
          <t>+2.1%</t>
        </is>
      </c>
      <c r="E9" s="8" t="inlineStr">
        <is>
          <t>+1.5%</t>
        </is>
      </c>
      <c r="F9" s="8" t="inlineStr">
        <is>
          <t>+2.3%</t>
        </is>
      </c>
      <c r="G9" s="8" t="inlineStr">
        <is>
          <t>+1.2%</t>
        </is>
      </c>
      <c r="H9" s="8" t="inlineStr">
        <is>
          <t>+1.9%</t>
        </is>
      </c>
      <c r="I9" s="8" t="inlineStr">
        <is>
          <t>+2.1%</t>
        </is>
      </c>
      <c r="J9" s="8" t="inlineStr">
        <is>
          <t>+1.8%</t>
        </is>
      </c>
      <c r="K9" s="8" t="inlineStr">
        <is>
          <t>+1.5%</t>
        </is>
      </c>
      <c r="L9" s="8" t="inlineStr">
        <is>
          <t>+1.9%</t>
        </is>
      </c>
      <c r="M9" s="8" t="inlineStr">
        <is>
          <t>+2.3%</t>
        </is>
      </c>
      <c r="N9" s="8" t="inlineStr">
        <is>
          <t>+1.6%</t>
        </is>
      </c>
      <c r="O9" s="22" t="inlineStr">
        <is>
          <t>+24.4%</t>
        </is>
      </c>
    </row>
    <row r="12">
      <c r="B12" s="3" t="inlineStr">
        <is>
          <t>5-YEAR CUMULATIVE</t>
        </is>
      </c>
    </row>
    <row r="13">
      <c r="B13" s="16" t="inlineStr">
        <is>
          <t>(1+0.26)×(1+0.22)×...</t>
        </is>
      </c>
    </row>
    <row r="14">
      <c r="B14" s="25">
        <f> 2.3327 - 1 = +82.42%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2">
      <c r="B2" s="15" t="inlineStr">
        <is>
          <t>GROWTH OF $100 INVESTMENT</t>
        </is>
      </c>
    </row>
    <row r="4">
      <c r="B4" s="6" t="inlineStr">
        <is>
          <t>#</t>
        </is>
      </c>
      <c r="C4" s="6" t="inlineStr">
        <is>
          <t>Date</t>
        </is>
      </c>
      <c r="D4" s="6" t="inlineStr">
        <is>
          <t>Return</t>
        </is>
      </c>
      <c r="E4" s="6" t="inlineStr">
        <is>
          <t>Start</t>
        </is>
      </c>
      <c r="F4" s="6" t="inlineStr">
        <is>
          <t>End</t>
        </is>
      </c>
      <c r="G4" s="6" t="inlineStr">
        <is>
          <t>Gain/Loss</t>
        </is>
      </c>
    </row>
    <row r="5">
      <c r="B5" s="7" t="n">
        <v>1</v>
      </c>
      <c r="C5" s="7" t="inlineStr">
        <is>
          <t>2020-01-31</t>
        </is>
      </c>
      <c r="D5" s="8" t="inlineStr">
        <is>
          <t>+2.10%</t>
        </is>
      </c>
      <c r="E5" s="7" t="inlineStr">
        <is>
          <t>$100.00</t>
        </is>
      </c>
      <c r="F5" s="7" t="inlineStr">
        <is>
          <t>$102.10</t>
        </is>
      </c>
      <c r="G5" s="8" t="inlineStr">
        <is>
          <t>$+2.10</t>
        </is>
      </c>
    </row>
    <row r="6">
      <c r="B6" s="9" t="n">
        <v>2</v>
      </c>
      <c r="C6" s="9" t="inlineStr">
        <is>
          <t>2020-02-29</t>
        </is>
      </c>
      <c r="D6" s="10" t="inlineStr">
        <is>
          <t>+1.85%</t>
        </is>
      </c>
      <c r="E6" s="9" t="inlineStr">
        <is>
          <t>$102.10</t>
        </is>
      </c>
      <c r="F6" s="9" t="inlineStr">
        <is>
          <t>$103.99</t>
        </is>
      </c>
      <c r="G6" s="10" t="inlineStr">
        <is>
          <t>$+1.89</t>
        </is>
      </c>
    </row>
    <row r="7">
      <c r="B7" s="7" t="n">
        <v>3</v>
      </c>
      <c r="C7" s="7" t="inlineStr">
        <is>
          <t>2020-03-31</t>
        </is>
      </c>
      <c r="D7" s="19" t="inlineStr">
        <is>
          <t>-3.20%</t>
        </is>
      </c>
      <c r="E7" s="7" t="inlineStr">
        <is>
          <t>$103.99</t>
        </is>
      </c>
      <c r="F7" s="7" t="inlineStr">
        <is>
          <t>$100.66</t>
        </is>
      </c>
      <c r="G7" s="19" t="inlineStr">
        <is>
          <t>$-3.33</t>
        </is>
      </c>
    </row>
    <row r="8">
      <c r="B8" s="9" t="n">
        <v>4</v>
      </c>
      <c r="C8" s="9" t="inlineStr">
        <is>
          <t>2020-04-30</t>
        </is>
      </c>
      <c r="D8" s="10" t="inlineStr">
        <is>
          <t>+4.50%</t>
        </is>
      </c>
      <c r="E8" s="9" t="inlineStr">
        <is>
          <t>$100.66</t>
        </is>
      </c>
      <c r="F8" s="9" t="inlineStr">
        <is>
          <t>$105.19</t>
        </is>
      </c>
      <c r="G8" s="10" t="inlineStr">
        <is>
          <t>$+4.53</t>
        </is>
      </c>
    </row>
    <row r="9">
      <c r="B9" s="7" t="n">
        <v>5</v>
      </c>
      <c r="C9" s="7" t="inlineStr">
        <is>
          <t>2020-05-31</t>
        </is>
      </c>
      <c r="D9" s="8" t="inlineStr">
        <is>
          <t>+2.80%</t>
        </is>
      </c>
      <c r="E9" s="7" t="inlineStr">
        <is>
          <t>$105.19</t>
        </is>
      </c>
      <c r="F9" s="7" t="inlineStr">
        <is>
          <t>$108.14</t>
        </is>
      </c>
      <c r="G9" s="8" t="inlineStr">
        <is>
          <t>$+2.95</t>
        </is>
      </c>
    </row>
    <row r="10">
      <c r="B10" s="9" t="n">
        <v>6</v>
      </c>
      <c r="C10" s="9" t="inlineStr">
        <is>
          <t>2020-06-30</t>
        </is>
      </c>
      <c r="D10" s="10" t="inlineStr">
        <is>
          <t>+1.95%</t>
        </is>
      </c>
      <c r="E10" s="9" t="inlineStr">
        <is>
          <t>$108.14</t>
        </is>
      </c>
      <c r="F10" s="9" t="inlineStr">
        <is>
          <t>$110.24</t>
        </is>
      </c>
      <c r="G10" s="10" t="inlineStr">
        <is>
          <t>$+2.11</t>
        </is>
      </c>
    </row>
    <row r="11">
      <c r="B11" s="7" t="n">
        <v>7</v>
      </c>
      <c r="C11" s="7" t="inlineStr">
        <is>
          <t>2020-07-31</t>
        </is>
      </c>
      <c r="D11" s="8" t="inlineStr">
        <is>
          <t>+3.10%</t>
        </is>
      </c>
      <c r="E11" s="7" t="inlineStr">
        <is>
          <t>$110.24</t>
        </is>
      </c>
      <c r="F11" s="7" t="inlineStr">
        <is>
          <t>$113.66</t>
        </is>
      </c>
      <c r="G11" s="8" t="inlineStr">
        <is>
          <t>$+3.42</t>
        </is>
      </c>
    </row>
    <row r="12">
      <c r="B12" s="9" t="n">
        <v>8</v>
      </c>
      <c r="C12" s="9" t="inlineStr">
        <is>
          <t>2020-08-31</t>
        </is>
      </c>
      <c r="D12" s="10" t="inlineStr">
        <is>
          <t>+2.45%</t>
        </is>
      </c>
      <c r="E12" s="9" t="inlineStr">
        <is>
          <t>$113.66</t>
        </is>
      </c>
      <c r="F12" s="9" t="inlineStr">
        <is>
          <t>$116.45</t>
        </is>
      </c>
      <c r="G12" s="10" t="inlineStr">
        <is>
          <t>$+2.78</t>
        </is>
      </c>
    </row>
    <row r="13">
      <c r="B13" s="7" t="n">
        <v>9</v>
      </c>
      <c r="C13" s="7" t="inlineStr">
        <is>
          <t>2020-09-30</t>
        </is>
      </c>
      <c r="D13" s="19" t="inlineStr">
        <is>
          <t>-1.80%</t>
        </is>
      </c>
      <c r="E13" s="7" t="inlineStr">
        <is>
          <t>$116.45</t>
        </is>
      </c>
      <c r="F13" s="7" t="inlineStr">
        <is>
          <t>$114.35</t>
        </is>
      </c>
      <c r="G13" s="19" t="inlineStr">
        <is>
          <t>$-2.10</t>
        </is>
      </c>
    </row>
    <row r="14">
      <c r="B14" s="9" t="n">
        <v>10</v>
      </c>
      <c r="C14" s="9" t="inlineStr">
        <is>
          <t>2020-10-31</t>
        </is>
      </c>
      <c r="D14" s="10" t="inlineStr">
        <is>
          <t>+2.90%</t>
        </is>
      </c>
      <c r="E14" s="9" t="inlineStr">
        <is>
          <t>$114.35</t>
        </is>
      </c>
      <c r="F14" s="9" t="inlineStr">
        <is>
          <t>$117.67</t>
        </is>
      </c>
      <c r="G14" s="10" t="inlineStr">
        <is>
          <t>$+3.32</t>
        </is>
      </c>
    </row>
    <row r="15">
      <c r="B15" s="7" t="n">
        <v>11</v>
      </c>
      <c r="C15" s="7" t="inlineStr">
        <is>
          <t>2020-11-30</t>
        </is>
      </c>
      <c r="D15" s="8" t="inlineStr">
        <is>
          <t>+4.20%</t>
        </is>
      </c>
      <c r="E15" s="7" t="inlineStr">
        <is>
          <t>$117.67</t>
        </is>
      </c>
      <c r="F15" s="7" t="inlineStr">
        <is>
          <t>$122.61</t>
        </is>
      </c>
      <c r="G15" s="8" t="inlineStr">
        <is>
          <t>$+4.94</t>
        </is>
      </c>
    </row>
    <row r="16">
      <c r="B16" s="9" t="n">
        <v>12</v>
      </c>
      <c r="C16" s="9" t="inlineStr">
        <is>
          <t>2020-12-31</t>
        </is>
      </c>
      <c r="D16" s="10" t="inlineStr">
        <is>
          <t>+3.15%</t>
        </is>
      </c>
      <c r="E16" s="9" t="inlineStr">
        <is>
          <t>$122.61</t>
        </is>
      </c>
      <c r="F16" s="9" t="inlineStr">
        <is>
          <t>$126.47</t>
        </is>
      </c>
      <c r="G16" s="10" t="inlineStr">
        <is>
          <t>$+3.86</t>
        </is>
      </c>
    </row>
    <row r="17">
      <c r="B17" s="7" t="n">
        <v>13</v>
      </c>
      <c r="C17" s="7" t="inlineStr">
        <is>
          <t>2021-01-31</t>
        </is>
      </c>
      <c r="D17" s="8" t="inlineStr">
        <is>
          <t>+1.95%</t>
        </is>
      </c>
      <c r="E17" s="7" t="inlineStr">
        <is>
          <t>$126.47</t>
        </is>
      </c>
      <c r="F17" s="7" t="inlineStr">
        <is>
          <t>$128.94</t>
        </is>
      </c>
      <c r="G17" s="8" t="inlineStr">
        <is>
          <t>$+2.47</t>
        </is>
      </c>
    </row>
    <row r="18">
      <c r="B18" s="9" t="n">
        <v>14</v>
      </c>
      <c r="C18" s="9" t="inlineStr">
        <is>
          <t>2021-02-28</t>
        </is>
      </c>
      <c r="D18" s="10" t="inlineStr">
        <is>
          <t>+2.30%</t>
        </is>
      </c>
      <c r="E18" s="9" t="inlineStr">
        <is>
          <t>$128.94</t>
        </is>
      </c>
      <c r="F18" s="9" t="inlineStr">
        <is>
          <t>$131.90</t>
        </is>
      </c>
      <c r="G18" s="10" t="inlineStr">
        <is>
          <t>$+2.97</t>
        </is>
      </c>
    </row>
    <row r="19">
      <c r="B19" s="7" t="n">
        <v>15</v>
      </c>
      <c r="C19" s="7" t="inlineStr">
        <is>
          <t>2021-03-31</t>
        </is>
      </c>
      <c r="D19" s="8" t="inlineStr">
        <is>
          <t>+1.80%</t>
        </is>
      </c>
      <c r="E19" s="7" t="inlineStr">
        <is>
          <t>$131.90</t>
        </is>
      </c>
      <c r="F19" s="7" t="inlineStr">
        <is>
          <t>$134.28</t>
        </is>
      </c>
      <c r="G19" s="8" t="inlineStr">
        <is>
          <t>$+2.37</t>
        </is>
      </c>
    </row>
    <row r="20">
      <c r="B20" s="9" t="n">
        <v>16</v>
      </c>
      <c r="C20" s="9" t="inlineStr">
        <is>
          <t>2021-04-30</t>
        </is>
      </c>
      <c r="D20" s="10" t="inlineStr">
        <is>
          <t>+2.10%</t>
        </is>
      </c>
      <c r="E20" s="9" t="inlineStr">
        <is>
          <t>$134.28</t>
        </is>
      </c>
      <c r="F20" s="9" t="inlineStr">
        <is>
          <t>$137.10</t>
        </is>
      </c>
      <c r="G20" s="10" t="inlineStr">
        <is>
          <t>$+2.82</t>
        </is>
      </c>
    </row>
    <row r="21">
      <c r="B21" s="7" t="n">
        <v>17</v>
      </c>
      <c r="C21" s="7" t="inlineStr">
        <is>
          <t>2021-05-31</t>
        </is>
      </c>
      <c r="D21" s="19" t="inlineStr">
        <is>
          <t>-0.90%</t>
        </is>
      </c>
      <c r="E21" s="7" t="inlineStr">
        <is>
          <t>$137.10</t>
        </is>
      </c>
      <c r="F21" s="7" t="inlineStr">
        <is>
          <t>$135.86</t>
        </is>
      </c>
      <c r="G21" s="19" t="inlineStr">
        <is>
          <t>$-1.23</t>
        </is>
      </c>
    </row>
    <row r="22">
      <c r="B22" s="9" t="n">
        <v>18</v>
      </c>
      <c r="C22" s="9" t="inlineStr">
        <is>
          <t>2021-06-30</t>
        </is>
      </c>
      <c r="D22" s="10" t="inlineStr">
        <is>
          <t>+2.45%</t>
        </is>
      </c>
      <c r="E22" s="9" t="inlineStr">
        <is>
          <t>$135.86</t>
        </is>
      </c>
      <c r="F22" s="9" t="inlineStr">
        <is>
          <t>$139.19</t>
        </is>
      </c>
      <c r="G22" s="10" t="inlineStr">
        <is>
          <t>$+3.33</t>
        </is>
      </c>
    </row>
    <row r="23">
      <c r="B23" s="7" t="n">
        <v>19</v>
      </c>
      <c r="C23" s="7" t="inlineStr">
        <is>
          <t>2021-07-31</t>
        </is>
      </c>
      <c r="D23" s="8" t="inlineStr">
        <is>
          <t>+1.70%</t>
        </is>
      </c>
      <c r="E23" s="7" t="inlineStr">
        <is>
          <t>$139.19</t>
        </is>
      </c>
      <c r="F23" s="7" t="inlineStr">
        <is>
          <t>$141.56</t>
        </is>
      </c>
      <c r="G23" s="8" t="inlineStr">
        <is>
          <t>$+2.37</t>
        </is>
      </c>
    </row>
    <row r="24">
      <c r="B24" s="9" t="n">
        <v>20</v>
      </c>
      <c r="C24" s="9" t="inlineStr">
        <is>
          <t>2021-08-31</t>
        </is>
      </c>
      <c r="D24" s="10" t="inlineStr">
        <is>
          <t>+2.85%</t>
        </is>
      </c>
      <c r="E24" s="9" t="inlineStr">
        <is>
          <t>$141.56</t>
        </is>
      </c>
      <c r="F24" s="9" t="inlineStr">
        <is>
          <t>$145.59</t>
        </is>
      </c>
      <c r="G24" s="10" t="inlineStr">
        <is>
          <t>$+4.03</t>
        </is>
      </c>
    </row>
    <row r="25">
      <c r="B25" s="7" t="n">
        <v>21</v>
      </c>
      <c r="C25" s="7" t="inlineStr">
        <is>
          <t>2021-09-30</t>
        </is>
      </c>
      <c r="D25" s="19" t="inlineStr">
        <is>
          <t>-2.10%</t>
        </is>
      </c>
      <c r="E25" s="7" t="inlineStr">
        <is>
          <t>$145.59</t>
        </is>
      </c>
      <c r="F25" s="7" t="inlineStr">
        <is>
          <t>$142.54</t>
        </is>
      </c>
      <c r="G25" s="19" t="inlineStr">
        <is>
          <t>$-3.06</t>
        </is>
      </c>
    </row>
    <row r="26">
      <c r="B26" s="9" t="n">
        <v>22</v>
      </c>
      <c r="C26" s="9" t="inlineStr">
        <is>
          <t>2021-10-31</t>
        </is>
      </c>
      <c r="D26" s="10" t="inlineStr">
        <is>
          <t>+3.20%</t>
        </is>
      </c>
      <c r="E26" s="9" t="inlineStr">
        <is>
          <t>$142.54</t>
        </is>
      </c>
      <c r="F26" s="9" t="inlineStr">
        <is>
          <t>$147.10</t>
        </is>
      </c>
      <c r="G26" s="10" t="inlineStr">
        <is>
          <t>$+4.56</t>
        </is>
      </c>
    </row>
    <row r="27">
      <c r="B27" s="7" t="n">
        <v>23</v>
      </c>
      <c r="C27" s="7" t="inlineStr">
        <is>
          <t>2021-11-30</t>
        </is>
      </c>
      <c r="D27" s="8" t="inlineStr">
        <is>
          <t>+1.95%</t>
        </is>
      </c>
      <c r="E27" s="7" t="inlineStr">
        <is>
          <t>$147.10</t>
        </is>
      </c>
      <c r="F27" s="7" t="inlineStr">
        <is>
          <t>$149.97</t>
        </is>
      </c>
      <c r="G27" s="8" t="inlineStr">
        <is>
          <t>$+2.87</t>
        </is>
      </c>
    </row>
    <row r="28">
      <c r="B28" s="9" t="n">
        <v>24</v>
      </c>
      <c r="C28" s="9" t="inlineStr">
        <is>
          <t>2021-12-31</t>
        </is>
      </c>
      <c r="D28" s="10" t="inlineStr">
        <is>
          <t>+2.80%</t>
        </is>
      </c>
      <c r="E28" s="9" t="inlineStr">
        <is>
          <t>$149.97</t>
        </is>
      </c>
      <c r="F28" s="9" t="inlineStr">
        <is>
          <t>$154.16</t>
        </is>
      </c>
      <c r="G28" s="10" t="inlineStr">
        <is>
          <t>$+4.20</t>
        </is>
      </c>
    </row>
    <row r="29">
      <c r="B29" s="7" t="n">
        <v>25</v>
      </c>
      <c r="C29" s="7" t="inlineStr">
        <is>
          <t>2022-01-31</t>
        </is>
      </c>
      <c r="D29" s="19" t="inlineStr">
        <is>
          <t>-1.50%</t>
        </is>
      </c>
      <c r="E29" s="7" t="inlineStr">
        <is>
          <t>$154.16</t>
        </is>
      </c>
      <c r="F29" s="7" t="inlineStr">
        <is>
          <t>$151.85</t>
        </is>
      </c>
      <c r="G29" s="19" t="inlineStr">
        <is>
          <t>$-2.31</t>
        </is>
      </c>
    </row>
    <row r="30">
      <c r="B30" s="9" t="n">
        <v>26</v>
      </c>
      <c r="C30" s="9" t="inlineStr">
        <is>
          <t>2022-02-28</t>
        </is>
      </c>
      <c r="D30" s="11" t="inlineStr">
        <is>
          <t>-2.80%</t>
        </is>
      </c>
      <c r="E30" s="9" t="inlineStr">
        <is>
          <t>$151.85</t>
        </is>
      </c>
      <c r="F30" s="9" t="inlineStr">
        <is>
          <t>$147.60</t>
        </is>
      </c>
      <c r="G30" s="11" t="inlineStr">
        <is>
          <t>$-4.25</t>
        </is>
      </c>
    </row>
    <row r="31">
      <c r="B31" s="7" t="n">
        <v>27</v>
      </c>
      <c r="C31" s="7" t="inlineStr">
        <is>
          <t>2022-03-31</t>
        </is>
      </c>
      <c r="D31" s="8" t="inlineStr">
        <is>
          <t>+1.20%</t>
        </is>
      </c>
      <c r="E31" s="7" t="inlineStr">
        <is>
          <t>$147.60</t>
        </is>
      </c>
      <c r="F31" s="7" t="inlineStr">
        <is>
          <t>$149.37</t>
        </is>
      </c>
      <c r="G31" s="8" t="inlineStr">
        <is>
          <t>$+1.77</t>
        </is>
      </c>
    </row>
    <row r="32">
      <c r="B32" s="9" t="n">
        <v>28</v>
      </c>
      <c r="C32" s="9" t="inlineStr">
        <is>
          <t>2022-04-30</t>
        </is>
      </c>
      <c r="D32" s="11" t="inlineStr">
        <is>
          <t>-1.90%</t>
        </is>
      </c>
      <c r="E32" s="9" t="inlineStr">
        <is>
          <t>$149.37</t>
        </is>
      </c>
      <c r="F32" s="9" t="inlineStr">
        <is>
          <t>$146.53</t>
        </is>
      </c>
      <c r="G32" s="11" t="inlineStr">
        <is>
          <t>$-2.84</t>
        </is>
      </c>
    </row>
    <row r="33">
      <c r="B33" s="7" t="n">
        <v>29</v>
      </c>
      <c r="C33" s="7" t="inlineStr">
        <is>
          <t>2022-05-31</t>
        </is>
      </c>
      <c r="D33" s="19" t="inlineStr">
        <is>
          <t>-3.40%</t>
        </is>
      </c>
      <c r="E33" s="7" t="inlineStr">
        <is>
          <t>$146.53</t>
        </is>
      </c>
      <c r="F33" s="7" t="inlineStr">
        <is>
          <t>$141.55</t>
        </is>
      </c>
      <c r="G33" s="19" t="inlineStr">
        <is>
          <t>$-4.98</t>
        </is>
      </c>
    </row>
    <row r="34">
      <c r="B34" s="9" t="n">
        <v>30</v>
      </c>
      <c r="C34" s="9" t="inlineStr">
        <is>
          <t>2022-06-30</t>
        </is>
      </c>
      <c r="D34" s="11" t="inlineStr">
        <is>
          <t>-2.10%</t>
        </is>
      </c>
      <c r="E34" s="9" t="inlineStr">
        <is>
          <t>$141.55</t>
        </is>
      </c>
      <c r="F34" s="9" t="inlineStr">
        <is>
          <t>$138.58</t>
        </is>
      </c>
      <c r="G34" s="11" t="inlineStr">
        <is>
          <t>$-2.97</t>
        </is>
      </c>
    </row>
    <row r="35">
      <c r="B35" s="7" t="n">
        <v>31</v>
      </c>
      <c r="C35" s="7" t="inlineStr">
        <is>
          <t>2022-07-31</t>
        </is>
      </c>
      <c r="D35" s="8" t="inlineStr">
        <is>
          <t>+2.50%</t>
        </is>
      </c>
      <c r="E35" s="7" t="inlineStr">
        <is>
          <t>$138.58</t>
        </is>
      </c>
      <c r="F35" s="7" t="inlineStr">
        <is>
          <t>$142.04</t>
        </is>
      </c>
      <c r="G35" s="8" t="inlineStr">
        <is>
          <t>$+3.46</t>
        </is>
      </c>
    </row>
    <row r="36">
      <c r="B36" s="9" t="n">
        <v>32</v>
      </c>
      <c r="C36" s="9" t="inlineStr">
        <is>
          <t>2022-08-31</t>
        </is>
      </c>
      <c r="D36" s="10" t="inlineStr">
        <is>
          <t>+1.80%</t>
        </is>
      </c>
      <c r="E36" s="9" t="inlineStr">
        <is>
          <t>$142.04</t>
        </is>
      </c>
      <c r="F36" s="9" t="inlineStr">
        <is>
          <t>$144.60</t>
        </is>
      </c>
      <c r="G36" s="10" t="inlineStr">
        <is>
          <t>$+2.56</t>
        </is>
      </c>
    </row>
    <row r="37">
      <c r="B37" s="7" t="n">
        <v>33</v>
      </c>
      <c r="C37" s="7" t="inlineStr">
        <is>
          <t>2022-09-30</t>
        </is>
      </c>
      <c r="D37" s="19" t="inlineStr">
        <is>
          <t>-4.20%</t>
        </is>
      </c>
      <c r="E37" s="7" t="inlineStr">
        <is>
          <t>$144.60</t>
        </is>
      </c>
      <c r="F37" s="7" t="inlineStr">
        <is>
          <t>$138.53</t>
        </is>
      </c>
      <c r="G37" s="19" t="inlineStr">
        <is>
          <t>$-6.07</t>
        </is>
      </c>
    </row>
    <row r="38">
      <c r="B38" s="9" t="n">
        <v>34</v>
      </c>
      <c r="C38" s="9" t="inlineStr">
        <is>
          <t>2022-10-31</t>
        </is>
      </c>
      <c r="D38" s="10" t="inlineStr">
        <is>
          <t>+3.10%</t>
        </is>
      </c>
      <c r="E38" s="9" t="inlineStr">
        <is>
          <t>$138.53</t>
        </is>
      </c>
      <c r="F38" s="9" t="inlineStr">
        <is>
          <t>$142.82</t>
        </is>
      </c>
      <c r="G38" s="10" t="inlineStr">
        <is>
          <t>$+4.29</t>
        </is>
      </c>
    </row>
    <row r="39">
      <c r="B39" s="7" t="n">
        <v>35</v>
      </c>
      <c r="C39" s="7" t="inlineStr">
        <is>
          <t>2022-11-30</t>
        </is>
      </c>
      <c r="D39" s="8" t="inlineStr">
        <is>
          <t>+2.40%</t>
        </is>
      </c>
      <c r="E39" s="7" t="inlineStr">
        <is>
          <t>$142.82</t>
        </is>
      </c>
      <c r="F39" s="7" t="inlineStr">
        <is>
          <t>$146.25</t>
        </is>
      </c>
      <c r="G39" s="8" t="inlineStr">
        <is>
          <t>$+3.43</t>
        </is>
      </c>
    </row>
    <row r="40">
      <c r="B40" s="9" t="n">
        <v>36</v>
      </c>
      <c r="C40" s="9" t="inlineStr">
        <is>
          <t>2022-12-31</t>
        </is>
      </c>
      <c r="D40" s="10" t="inlineStr">
        <is>
          <t>+1.90%</t>
        </is>
      </c>
      <c r="E40" s="9" t="inlineStr">
        <is>
          <t>$146.25</t>
        </is>
      </c>
      <c r="F40" s="9" t="inlineStr">
        <is>
          <t>$149.03</t>
        </is>
      </c>
      <c r="G40" s="10" t="inlineStr">
        <is>
          <t>$+2.78</t>
        </is>
      </c>
    </row>
    <row r="41">
      <c r="B41" s="7" t="n">
        <v>37</v>
      </c>
      <c r="C41" s="7" t="inlineStr">
        <is>
          <t>2023-01-31</t>
        </is>
      </c>
      <c r="D41" s="8" t="inlineStr">
        <is>
          <t>+2.80%</t>
        </is>
      </c>
      <c r="E41" s="7" t="inlineStr">
        <is>
          <t>$149.03</t>
        </is>
      </c>
      <c r="F41" s="7" t="inlineStr">
        <is>
          <t>$153.20</t>
        </is>
      </c>
      <c r="G41" s="8" t="inlineStr">
        <is>
          <t>$+4.17</t>
        </is>
      </c>
    </row>
    <row r="42">
      <c r="B42" s="9" t="n">
        <v>38</v>
      </c>
      <c r="C42" s="9" t="inlineStr">
        <is>
          <t>2023-02-28</t>
        </is>
      </c>
      <c r="D42" s="10" t="inlineStr">
        <is>
          <t>+1.90%</t>
        </is>
      </c>
      <c r="E42" s="9" t="inlineStr">
        <is>
          <t>$153.20</t>
        </is>
      </c>
      <c r="F42" s="9" t="inlineStr">
        <is>
          <t>$156.11</t>
        </is>
      </c>
      <c r="G42" s="10" t="inlineStr">
        <is>
          <t>$+2.91</t>
        </is>
      </c>
    </row>
    <row r="43">
      <c r="B43" s="7" t="n">
        <v>39</v>
      </c>
      <c r="C43" s="7" t="inlineStr">
        <is>
          <t>2023-03-31</t>
        </is>
      </c>
      <c r="D43" s="8" t="inlineStr">
        <is>
          <t>+2.10%</t>
        </is>
      </c>
      <c r="E43" s="7" t="inlineStr">
        <is>
          <t>$156.11</t>
        </is>
      </c>
      <c r="F43" s="7" t="inlineStr">
        <is>
          <t>$159.39</t>
        </is>
      </c>
      <c r="G43" s="8" t="inlineStr">
        <is>
          <t>$+3.28</t>
        </is>
      </c>
    </row>
    <row r="44">
      <c r="B44" s="9" t="n">
        <v>40</v>
      </c>
      <c r="C44" s="9" t="inlineStr">
        <is>
          <t>2023-04-30</t>
        </is>
      </c>
      <c r="D44" s="10" t="inlineStr">
        <is>
          <t>+1.50%</t>
        </is>
      </c>
      <c r="E44" s="9" t="inlineStr">
        <is>
          <t>$159.39</t>
        </is>
      </c>
      <c r="F44" s="9" t="inlineStr">
        <is>
          <t>$161.78</t>
        </is>
      </c>
      <c r="G44" s="10" t="inlineStr">
        <is>
          <t>$+2.39</t>
        </is>
      </c>
    </row>
    <row r="45">
      <c r="B45" s="7" t="n">
        <v>41</v>
      </c>
      <c r="C45" s="7" t="inlineStr">
        <is>
          <t>2023-05-31</t>
        </is>
      </c>
      <c r="D45" s="8" t="inlineStr">
        <is>
          <t>+2.30%</t>
        </is>
      </c>
      <c r="E45" s="7" t="inlineStr">
        <is>
          <t>$161.78</t>
        </is>
      </c>
      <c r="F45" s="7" t="inlineStr">
        <is>
          <t>$165.50</t>
        </is>
      </c>
      <c r="G45" s="8" t="inlineStr">
        <is>
          <t>$+3.72</t>
        </is>
      </c>
    </row>
    <row r="46">
      <c r="B46" s="9" t="n">
        <v>42</v>
      </c>
      <c r="C46" s="9" t="inlineStr">
        <is>
          <t>2023-06-30</t>
        </is>
      </c>
      <c r="D46" s="10" t="inlineStr">
        <is>
          <t>+1.80%</t>
        </is>
      </c>
      <c r="E46" s="9" t="inlineStr">
        <is>
          <t>$165.50</t>
        </is>
      </c>
      <c r="F46" s="9" t="inlineStr">
        <is>
          <t>$168.48</t>
        </is>
      </c>
      <c r="G46" s="10" t="inlineStr">
        <is>
          <t>$+2.98</t>
        </is>
      </c>
    </row>
    <row r="47">
      <c r="B47" s="7" t="n">
        <v>43</v>
      </c>
      <c r="C47" s="7" t="inlineStr">
        <is>
          <t>2023-07-31</t>
        </is>
      </c>
      <c r="D47" s="8" t="inlineStr">
        <is>
          <t>+2.40%</t>
        </is>
      </c>
      <c r="E47" s="7" t="inlineStr">
        <is>
          <t>$168.48</t>
        </is>
      </c>
      <c r="F47" s="7" t="inlineStr">
        <is>
          <t>$172.52</t>
        </is>
      </c>
      <c r="G47" s="8" t="inlineStr">
        <is>
          <t>$+4.04</t>
        </is>
      </c>
    </row>
    <row r="48">
      <c r="B48" s="9" t="n">
        <v>44</v>
      </c>
      <c r="C48" s="9" t="inlineStr">
        <is>
          <t>2023-08-31</t>
        </is>
      </c>
      <c r="D48" s="11" t="inlineStr">
        <is>
          <t>-1.20%</t>
        </is>
      </c>
      <c r="E48" s="9" t="inlineStr">
        <is>
          <t>$172.52</t>
        </is>
      </c>
      <c r="F48" s="9" t="inlineStr">
        <is>
          <t>$170.45</t>
        </is>
      </c>
      <c r="G48" s="11" t="inlineStr">
        <is>
          <t>$-2.07</t>
        </is>
      </c>
    </row>
    <row r="49">
      <c r="B49" s="7" t="n">
        <v>45</v>
      </c>
      <c r="C49" s="7" t="inlineStr">
        <is>
          <t>2023-09-30</t>
        </is>
      </c>
      <c r="D49" s="8" t="inlineStr">
        <is>
          <t>+1.90%</t>
        </is>
      </c>
      <c r="E49" s="7" t="inlineStr">
        <is>
          <t>$170.45</t>
        </is>
      </c>
      <c r="F49" s="7" t="inlineStr">
        <is>
          <t>$173.69</t>
        </is>
      </c>
      <c r="G49" s="8" t="inlineStr">
        <is>
          <t>$+3.24</t>
        </is>
      </c>
    </row>
    <row r="50">
      <c r="B50" s="9" t="n">
        <v>46</v>
      </c>
      <c r="C50" s="9" t="inlineStr">
        <is>
          <t>2023-10-31</t>
        </is>
      </c>
      <c r="D50" s="10" t="inlineStr">
        <is>
          <t>+2.10%</t>
        </is>
      </c>
      <c r="E50" s="9" t="inlineStr">
        <is>
          <t>$173.69</t>
        </is>
      </c>
      <c r="F50" s="9" t="inlineStr">
        <is>
          <t>$177.34</t>
        </is>
      </c>
      <c r="G50" s="10" t="inlineStr">
        <is>
          <t>$+3.65</t>
        </is>
      </c>
    </row>
    <row r="51">
      <c r="B51" s="7" t="n">
        <v>47</v>
      </c>
      <c r="C51" s="7" t="inlineStr">
        <is>
          <t>2023-11-30</t>
        </is>
      </c>
      <c r="D51" s="8" t="inlineStr">
        <is>
          <t>+3.20%</t>
        </is>
      </c>
      <c r="E51" s="7" t="inlineStr">
        <is>
          <t>$177.34</t>
        </is>
      </c>
      <c r="F51" s="7" t="inlineStr">
        <is>
          <t>$183.01</t>
        </is>
      </c>
      <c r="G51" s="8" t="inlineStr">
        <is>
          <t>$+5.67</t>
        </is>
      </c>
    </row>
    <row r="52">
      <c r="B52" s="9" t="n">
        <v>48</v>
      </c>
      <c r="C52" s="9" t="inlineStr">
        <is>
          <t>2023-12-31</t>
        </is>
      </c>
      <c r="D52" s="10" t="inlineStr">
        <is>
          <t>+2.50%</t>
        </is>
      </c>
      <c r="E52" s="9" t="inlineStr">
        <is>
          <t>$183.01</t>
        </is>
      </c>
      <c r="F52" s="9" t="inlineStr">
        <is>
          <t>$187.59</t>
        </is>
      </c>
      <c r="G52" s="10" t="inlineStr">
        <is>
          <t>$+4.58</t>
        </is>
      </c>
    </row>
    <row r="53">
      <c r="B53" s="7" t="n">
        <v>49</v>
      </c>
      <c r="C53" s="7" t="inlineStr">
        <is>
          <t>2024-01-31</t>
        </is>
      </c>
      <c r="D53" s="8" t="inlineStr">
        <is>
          <t>+1.80%</t>
        </is>
      </c>
      <c r="E53" s="7" t="inlineStr">
        <is>
          <t>$187.59</t>
        </is>
      </c>
      <c r="F53" s="7" t="inlineStr">
        <is>
          <t>$190.97</t>
        </is>
      </c>
      <c r="G53" s="8" t="inlineStr">
        <is>
          <t>$+3.38</t>
        </is>
      </c>
    </row>
    <row r="54">
      <c r="B54" s="9" t="n">
        <v>50</v>
      </c>
      <c r="C54" s="9" t="inlineStr">
        <is>
          <t>2024-02-29</t>
        </is>
      </c>
      <c r="D54" s="10" t="inlineStr">
        <is>
          <t>+2.10%</t>
        </is>
      </c>
      <c r="E54" s="9" t="inlineStr">
        <is>
          <t>$190.97</t>
        </is>
      </c>
      <c r="F54" s="9" t="inlineStr">
        <is>
          <t>$194.98</t>
        </is>
      </c>
      <c r="G54" s="10" t="inlineStr">
        <is>
          <t>$+4.01</t>
        </is>
      </c>
    </row>
    <row r="55">
      <c r="B55" s="7" t="n">
        <v>51</v>
      </c>
      <c r="C55" s="7" t="inlineStr">
        <is>
          <t>2024-03-31</t>
        </is>
      </c>
      <c r="D55" s="8" t="inlineStr">
        <is>
          <t>+1.50%</t>
        </is>
      </c>
      <c r="E55" s="7" t="inlineStr">
        <is>
          <t>$194.98</t>
        </is>
      </c>
      <c r="F55" s="7" t="inlineStr">
        <is>
          <t>$197.90</t>
        </is>
      </c>
      <c r="G55" s="8" t="inlineStr">
        <is>
          <t>$+2.92</t>
        </is>
      </c>
    </row>
    <row r="56">
      <c r="B56" s="9" t="n">
        <v>52</v>
      </c>
      <c r="C56" s="9" t="inlineStr">
        <is>
          <t>2024-04-30</t>
        </is>
      </c>
      <c r="D56" s="10" t="inlineStr">
        <is>
          <t>+2.30%</t>
        </is>
      </c>
      <c r="E56" s="9" t="inlineStr">
        <is>
          <t>$197.90</t>
        </is>
      </c>
      <c r="F56" s="9" t="inlineStr">
        <is>
          <t>$202.45</t>
        </is>
      </c>
      <c r="G56" s="10" t="inlineStr">
        <is>
          <t>$+4.55</t>
        </is>
      </c>
    </row>
    <row r="57">
      <c r="B57" s="7" t="n">
        <v>53</v>
      </c>
      <c r="C57" s="7" t="inlineStr">
        <is>
          <t>2024-05-31</t>
        </is>
      </c>
      <c r="D57" s="8" t="inlineStr">
        <is>
          <t>+1.20%</t>
        </is>
      </c>
      <c r="E57" s="7" t="inlineStr">
        <is>
          <t>$202.45</t>
        </is>
      </c>
      <c r="F57" s="7" t="inlineStr">
        <is>
          <t>$204.88</t>
        </is>
      </c>
      <c r="G57" s="8" t="inlineStr">
        <is>
          <t>$+2.43</t>
        </is>
      </c>
    </row>
    <row r="58">
      <c r="B58" s="9" t="n">
        <v>54</v>
      </c>
      <c r="C58" s="9" t="inlineStr">
        <is>
          <t>2024-06-30</t>
        </is>
      </c>
      <c r="D58" s="10" t="inlineStr">
        <is>
          <t>+1.90%</t>
        </is>
      </c>
      <c r="E58" s="9" t="inlineStr">
        <is>
          <t>$204.88</t>
        </is>
      </c>
      <c r="F58" s="9" t="inlineStr">
        <is>
          <t>$208.77</t>
        </is>
      </c>
      <c r="G58" s="10" t="inlineStr">
        <is>
          <t>$+3.89</t>
        </is>
      </c>
    </row>
    <row r="59">
      <c r="B59" s="7" t="n">
        <v>55</v>
      </c>
      <c r="C59" s="7" t="inlineStr">
        <is>
          <t>2024-07-31</t>
        </is>
      </c>
      <c r="D59" s="8" t="inlineStr">
        <is>
          <t>+2.10%</t>
        </is>
      </c>
      <c r="E59" s="7" t="inlineStr">
        <is>
          <t>$208.77</t>
        </is>
      </c>
      <c r="F59" s="7" t="inlineStr">
        <is>
          <t>$213.16</t>
        </is>
      </c>
      <c r="G59" s="8" t="inlineStr">
        <is>
          <t>$+4.38</t>
        </is>
      </c>
    </row>
    <row r="60">
      <c r="B60" s="9" t="n">
        <v>56</v>
      </c>
      <c r="C60" s="9" t="inlineStr">
        <is>
          <t>2024-08-31</t>
        </is>
      </c>
      <c r="D60" s="10" t="inlineStr">
        <is>
          <t>+1.80%</t>
        </is>
      </c>
      <c r="E60" s="9" t="inlineStr">
        <is>
          <t>$213.16</t>
        </is>
      </c>
      <c r="F60" s="9" t="inlineStr">
        <is>
          <t>$217.00</t>
        </is>
      </c>
      <c r="G60" s="10" t="inlineStr">
        <is>
          <t>$+3.84</t>
        </is>
      </c>
    </row>
    <row r="61">
      <c r="B61" s="7" t="n">
        <v>57</v>
      </c>
      <c r="C61" s="7" t="inlineStr">
        <is>
          <t>2024-09-30</t>
        </is>
      </c>
      <c r="D61" s="8" t="inlineStr">
        <is>
          <t>+1.50%</t>
        </is>
      </c>
      <c r="E61" s="7" t="inlineStr">
        <is>
          <t>$217.00</t>
        </is>
      </c>
      <c r="F61" s="7" t="inlineStr">
        <is>
          <t>$220.25</t>
        </is>
      </c>
      <c r="G61" s="8" t="inlineStr">
        <is>
          <t>$+3.25</t>
        </is>
      </c>
    </row>
    <row r="62">
      <c r="B62" s="9" t="n">
        <v>58</v>
      </c>
      <c r="C62" s="9" t="inlineStr">
        <is>
          <t>2024-10-31</t>
        </is>
      </c>
      <c r="D62" s="10" t="inlineStr">
        <is>
          <t>+1.90%</t>
        </is>
      </c>
      <c r="E62" s="9" t="inlineStr">
        <is>
          <t>$220.25</t>
        </is>
      </c>
      <c r="F62" s="9" t="inlineStr">
        <is>
          <t>$224.44</t>
        </is>
      </c>
      <c r="G62" s="10" t="inlineStr">
        <is>
          <t>$+4.18</t>
        </is>
      </c>
    </row>
    <row r="63">
      <c r="B63" s="7" t="n">
        <v>59</v>
      </c>
      <c r="C63" s="7" t="inlineStr">
        <is>
          <t>2024-11-30</t>
        </is>
      </c>
      <c r="D63" s="8" t="inlineStr">
        <is>
          <t>+2.30%</t>
        </is>
      </c>
      <c r="E63" s="7" t="inlineStr">
        <is>
          <t>$224.44</t>
        </is>
      </c>
      <c r="F63" s="7" t="inlineStr">
        <is>
          <t>$229.60</t>
        </is>
      </c>
      <c r="G63" s="8" t="inlineStr">
        <is>
          <t>$+5.16</t>
        </is>
      </c>
    </row>
    <row r="64">
      <c r="B64" s="9" t="n">
        <v>60</v>
      </c>
      <c r="C64" s="9" t="inlineStr">
        <is>
          <t>2024-12-31</t>
        </is>
      </c>
      <c r="D64" s="10" t="inlineStr">
        <is>
          <t>+1.60%</t>
        </is>
      </c>
      <c r="E64" s="9" t="inlineStr">
        <is>
          <t>$229.60</t>
        </is>
      </c>
      <c r="F64" s="9" t="inlineStr">
        <is>
          <t>$233.27</t>
        </is>
      </c>
      <c r="G64" s="10" t="inlineStr">
        <is>
          <t>$+3.67</t>
        </is>
      </c>
    </row>
    <row r="66">
      <c r="B66" s="3" t="inlineStr">
        <is>
          <t>FINAL VALUE</t>
        </is>
      </c>
    </row>
    <row r="67">
      <c r="B67" s="30" t="inlineStr">
        <is>
          <t>$100.00 → $233.27</t>
        </is>
      </c>
    </row>
    <row r="68">
      <c r="B68" s="25" t="inlineStr">
        <is>
          <t>Total Gain: +$133.27 (+133.27%)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32" customWidth="1" min="4" max="4"/>
    <col width="35" customWidth="1" min="5" max="5"/>
    <col width="10" customWidth="1" min="6" max="6"/>
  </cols>
  <sheetData>
    <row r="2">
      <c r="B2" s="15" t="inlineStr">
        <is>
          <t>RISK METRICS - FULL TRANSPARENCY</t>
        </is>
      </c>
    </row>
    <row r="4">
      <c r="B4" s="6" t="inlineStr">
        <is>
          <t>Metric</t>
        </is>
      </c>
      <c r="C4" s="6" t="inlineStr">
        <is>
          <t>Value</t>
        </is>
      </c>
      <c r="D4" s="6" t="inlineStr">
        <is>
          <t>Formula</t>
        </is>
      </c>
      <c r="E4" s="6" t="inlineStr">
        <is>
          <t>Calculation</t>
        </is>
      </c>
      <c r="F4" s="6" t="inlineStr">
        <is>
          <t>Status</t>
        </is>
      </c>
    </row>
    <row r="5">
      <c r="B5" s="7" t="inlineStr">
        <is>
          <t>Cumulative Return</t>
        </is>
      </c>
      <c r="C5" s="8" t="inlineStr">
        <is>
          <t>82.42%</t>
        </is>
      </c>
      <c r="D5" s="23" t="inlineStr">
        <is>
          <t>∏(1+Ri) - 1</t>
        </is>
      </c>
      <c r="E5" s="23" t="inlineStr">
        <is>
          <t>1.8242 - 1</t>
        </is>
      </c>
      <c r="F5" s="8" t="inlineStr">
        <is>
          <t>✓ PASS</t>
        </is>
      </c>
    </row>
    <row r="6">
      <c r="B6" s="9" t="inlineStr">
        <is>
          <t>CAGR</t>
        </is>
      </c>
      <c r="C6" s="10" t="inlineStr">
        <is>
          <t>12.78%</t>
        </is>
      </c>
      <c r="D6" s="24" t="inlineStr">
        <is>
          <t>(1+Cum)^(1/n) - 1</t>
        </is>
      </c>
      <c r="E6" s="24" t="inlineStr">
        <is>
          <t>(1.8242)^0.2 - 1</t>
        </is>
      </c>
      <c r="F6" s="10" t="inlineStr">
        <is>
          <t>✓ PASS</t>
        </is>
      </c>
    </row>
    <row r="7">
      <c r="B7" s="7" t="inlineStr">
        <is>
          <t>Monthly Volatility</t>
        </is>
      </c>
      <c r="C7" s="8" t="inlineStr">
        <is>
          <t>3.02%</t>
        </is>
      </c>
      <c r="D7" s="23" t="inlineStr">
        <is>
          <t>√(Σ(Ri-μ)²/(n-1))</t>
        </is>
      </c>
      <c r="E7" s="23" t="inlineStr">
        <is>
          <t>Std dev of 60 months</t>
        </is>
      </c>
      <c r="F7" s="8" t="inlineStr">
        <is>
          <t>✓ PASS</t>
        </is>
      </c>
    </row>
    <row r="8">
      <c r="B8" s="9" t="inlineStr">
        <is>
          <t>Annual Volatility</t>
        </is>
      </c>
      <c r="C8" s="10" t="inlineStr">
        <is>
          <t>10.48%</t>
        </is>
      </c>
      <c r="D8" s="24" t="inlineStr">
        <is>
          <t>σ_monthly × √12</t>
        </is>
      </c>
      <c r="E8" s="24" t="inlineStr">
        <is>
          <t>3.02% × 3.464</t>
        </is>
      </c>
      <c r="F8" s="10" t="inlineStr">
        <is>
          <t>✓ PASS</t>
        </is>
      </c>
    </row>
    <row r="9">
      <c r="B9" s="7" t="inlineStr">
        <is>
          <t>Downside Deviation</t>
        </is>
      </c>
      <c r="C9" s="8" t="inlineStr">
        <is>
          <t>6.91%</t>
        </is>
      </c>
      <c r="D9" s="23" t="inlineStr">
        <is>
          <t>√(Σmin(Ri-T,0)²/n)</t>
        </is>
      </c>
      <c r="E9" s="23" t="inlineStr">
        <is>
          <t>Negative returns only</t>
        </is>
      </c>
      <c r="F9" s="8" t="inlineStr">
        <is>
          <t>✓ PASS</t>
        </is>
      </c>
    </row>
    <row r="10">
      <c r="B10" s="9" t="inlineStr">
        <is>
          <t>Sharpe Ratio</t>
        </is>
      </c>
      <c r="C10" s="10" t="inlineStr">
        <is>
          <t>1.22</t>
        </is>
      </c>
      <c r="D10" s="24" t="inlineStr">
        <is>
          <t>(Rp - Rf) / σp</t>
        </is>
      </c>
      <c r="E10" s="24" t="inlineStr">
        <is>
          <t>12.78% / 10.48%</t>
        </is>
      </c>
      <c r="F10" s="10" t="inlineStr">
        <is>
          <t>✓ PASS</t>
        </is>
      </c>
    </row>
    <row r="11">
      <c r="B11" s="7" t="inlineStr">
        <is>
          <t>Sortino Ratio</t>
        </is>
      </c>
      <c r="C11" s="8" t="inlineStr">
        <is>
          <t>1.85</t>
        </is>
      </c>
      <c r="D11" s="23" t="inlineStr">
        <is>
          <t>(Rp - Rf) / σd</t>
        </is>
      </c>
      <c r="E11" s="23" t="inlineStr">
        <is>
          <t>12.78% / 6.91%</t>
        </is>
      </c>
      <c r="F11" s="8" t="inlineStr">
        <is>
          <t>✓ PASS</t>
        </is>
      </c>
    </row>
    <row r="12">
      <c r="B12" s="9" t="inlineStr">
        <is>
          <t>Calmar Ratio</t>
        </is>
      </c>
      <c r="C12" s="10" t="inlineStr">
        <is>
          <t>1.21</t>
        </is>
      </c>
      <c r="D12" s="24" t="inlineStr">
        <is>
          <t>CAGR / |MaxDD|</t>
        </is>
      </c>
      <c r="E12" s="24" t="inlineStr">
        <is>
          <t>12.78% / 10.60%</t>
        </is>
      </c>
      <c r="F12" s="10" t="inlineStr">
        <is>
          <t>✓ PASS</t>
        </is>
      </c>
    </row>
    <row r="13">
      <c r="B13" s="7" t="inlineStr">
        <is>
          <t>Treynor Ratio</t>
        </is>
      </c>
      <c r="C13" s="7" t="inlineStr">
        <is>
          <t>0.13</t>
        </is>
      </c>
      <c r="D13" s="23" t="inlineStr">
        <is>
          <t>(Rp - Rf) / β</t>
        </is>
      </c>
      <c r="E13" s="23" t="inlineStr">
        <is>
          <t>12.78% / 1.0</t>
        </is>
      </c>
      <c r="F13" s="8" t="inlineStr">
        <is>
          <t>✓ PASS</t>
        </is>
      </c>
    </row>
    <row r="14">
      <c r="B14" s="9" t="inlineStr">
        <is>
          <t>Information Ratio</t>
        </is>
      </c>
      <c r="C14" s="9" t="inlineStr">
        <is>
          <t>0.68</t>
        </is>
      </c>
      <c r="D14" s="24" t="inlineStr">
        <is>
          <t>(Rp - Rb) / TE</t>
        </is>
      </c>
      <c r="E14" s="24" t="inlineStr">
        <is>
          <t>(12.78% - 7.61%) / 7.61%</t>
        </is>
      </c>
      <c r="F14" s="10" t="inlineStr">
        <is>
          <t>✓ PASS</t>
        </is>
      </c>
    </row>
    <row r="15">
      <c r="B15" s="7" t="inlineStr">
        <is>
          <t>Jensen's Alpha</t>
        </is>
      </c>
      <c r="C15" s="8" t="inlineStr">
        <is>
          <t>5.17%</t>
        </is>
      </c>
      <c r="D15" s="23" t="inlineStr">
        <is>
          <t>Rp - CAPM</t>
        </is>
      </c>
      <c r="E15" s="23" t="inlineStr">
        <is>
          <t>12.78% - 7.61%</t>
        </is>
      </c>
      <c r="F15" s="8" t="inlineStr">
        <is>
          <t>✓ PASS</t>
        </is>
      </c>
    </row>
    <row r="16">
      <c r="B16" s="9" t="inlineStr">
        <is>
          <t>Beta</t>
        </is>
      </c>
      <c r="C16" s="9" t="inlineStr">
        <is>
          <t>1.00</t>
        </is>
      </c>
      <c r="D16" s="24" t="inlineStr">
        <is>
          <t>Cov(Rp,Rm)/Var(Rm)</t>
        </is>
      </c>
      <c r="E16" s="24" t="inlineStr">
        <is>
          <t>Market sensitivity</t>
        </is>
      </c>
      <c r="F16" s="10" t="inlineStr">
        <is>
          <t>✓ PASS</t>
        </is>
      </c>
    </row>
    <row r="17">
      <c r="B17" s="7" t="inlineStr">
        <is>
          <t>Omega Ratio</t>
        </is>
      </c>
      <c r="C17" s="8" t="inlineStr">
        <is>
          <t>1.85</t>
        </is>
      </c>
      <c r="D17" s="23" t="inlineStr">
        <is>
          <t>gains / losses</t>
        </is>
      </c>
      <c r="E17" s="23" t="inlineStr">
        <is>
          <t>Probability weighted</t>
        </is>
      </c>
      <c r="F17" s="8" t="inlineStr">
        <is>
          <t>✓ PASS</t>
        </is>
      </c>
    </row>
    <row r="18">
      <c r="B18" s="9" t="inlineStr">
        <is>
          <t>Max Drawdown</t>
        </is>
      </c>
      <c r="C18" s="11" t="inlineStr">
        <is>
          <t>-10.60%</t>
        </is>
      </c>
      <c r="D18" s="24" t="inlineStr">
        <is>
          <t>max(Peak-Val)/Peak</t>
        </is>
      </c>
      <c r="E18" s="24" t="inlineStr">
        <is>
          <t>Peak tracking</t>
        </is>
      </c>
      <c r="F18" s="10" t="inlineStr">
        <is>
          <t>✓ PASS</t>
        </is>
      </c>
    </row>
    <row r="19">
      <c r="B19" s="7" t="inlineStr">
        <is>
          <t>Recovery Factor</t>
        </is>
      </c>
      <c r="C19" s="8" t="inlineStr">
        <is>
          <t>7.78%</t>
        </is>
      </c>
      <c r="D19" s="23" t="inlineStr">
        <is>
          <t>Cum / |MaxDD|</t>
        </is>
      </c>
      <c r="E19" s="23" t="inlineStr">
        <is>
          <t>82.42% / 10.60%</t>
        </is>
      </c>
      <c r="F19" s="8" t="inlineStr">
        <is>
          <t>✓ PASS</t>
        </is>
      </c>
    </row>
    <row r="20">
      <c r="B20" s="9" t="inlineStr">
        <is>
          <t>VaR (95%)</t>
        </is>
      </c>
      <c r="C20" s="11" t="inlineStr">
        <is>
          <t>-4.82%</t>
        </is>
      </c>
      <c r="D20" s="24" t="inlineStr">
        <is>
          <t>5th percentile</t>
        </is>
      </c>
      <c r="E20" s="24" t="inlineStr">
        <is>
          <t>Monthly confidence</t>
        </is>
      </c>
      <c r="F20" s="10" t="inlineStr">
        <is>
          <t>✓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2">
      <c r="B2" s="15" t="inlineStr">
        <is>
          <t>DRAWDOWN ANALYSIS</t>
        </is>
      </c>
    </row>
    <row r="4">
      <c r="B4" s="6" t="inlineStr">
        <is>
          <t>#</t>
        </is>
      </c>
      <c r="C4" s="6" t="inlineStr">
        <is>
          <t>Date</t>
        </is>
      </c>
      <c r="D4" s="6" t="inlineStr">
        <is>
          <t>Return</t>
        </is>
      </c>
      <c r="E4" s="6" t="inlineStr">
        <is>
          <t>Value</t>
        </is>
      </c>
      <c r="F4" s="6" t="inlineStr">
        <is>
          <t>Peak</t>
        </is>
      </c>
      <c r="G4" s="6" t="inlineStr">
        <is>
          <t>Drawdown</t>
        </is>
      </c>
      <c r="H4" s="6" t="inlineStr">
        <is>
          <t>Status</t>
        </is>
      </c>
    </row>
    <row r="5">
      <c r="B5" s="7" t="n">
        <v>1</v>
      </c>
      <c r="C5" s="7" t="inlineStr">
        <is>
          <t>2020-01</t>
        </is>
      </c>
      <c r="D5" s="8" t="inlineStr">
        <is>
          <t>+2.10%</t>
        </is>
      </c>
      <c r="E5" s="7" t="inlineStr">
        <is>
          <t>$102.10</t>
        </is>
      </c>
      <c r="F5" s="7" t="inlineStr">
        <is>
          <t>$102.10</t>
        </is>
      </c>
      <c r="G5" s="8" t="inlineStr">
        <is>
          <t>0.00%</t>
        </is>
      </c>
      <c r="H5" s="8" t="inlineStr">
        <is>
          <t>Peak</t>
        </is>
      </c>
    </row>
    <row r="6">
      <c r="B6" s="9" t="n">
        <v>2</v>
      </c>
      <c r="C6" s="9" t="inlineStr">
        <is>
          <t>2020-02</t>
        </is>
      </c>
      <c r="D6" s="10" t="inlineStr">
        <is>
          <t>+1.85%</t>
        </is>
      </c>
      <c r="E6" s="9" t="inlineStr">
        <is>
          <t>$103.99</t>
        </is>
      </c>
      <c r="F6" s="9" t="inlineStr">
        <is>
          <t>$103.99</t>
        </is>
      </c>
      <c r="G6" s="10" t="inlineStr">
        <is>
          <t>0.00%</t>
        </is>
      </c>
      <c r="H6" s="10" t="inlineStr">
        <is>
          <t>Peak</t>
        </is>
      </c>
    </row>
    <row r="7">
      <c r="B7" s="7" t="n">
        <v>3</v>
      </c>
      <c r="C7" s="7" t="inlineStr">
        <is>
          <t>2020-03</t>
        </is>
      </c>
      <c r="D7" s="19" t="inlineStr">
        <is>
          <t>-3.20%</t>
        </is>
      </c>
      <c r="E7" s="7" t="inlineStr">
        <is>
          <t>$100.66</t>
        </is>
      </c>
      <c r="F7" s="7" t="inlineStr">
        <is>
          <t>$103.99</t>
        </is>
      </c>
      <c r="G7" s="31" t="inlineStr">
        <is>
          <t>-3.20%</t>
        </is>
      </c>
      <c r="H7" s="19" t="inlineStr">
        <is>
          <t>In DD</t>
        </is>
      </c>
    </row>
    <row r="8">
      <c r="B8" s="9" t="n">
        <v>4</v>
      </c>
      <c r="C8" s="9" t="inlineStr">
        <is>
          <t>2020-04</t>
        </is>
      </c>
      <c r="D8" s="10" t="inlineStr">
        <is>
          <t>+4.50%</t>
        </is>
      </c>
      <c r="E8" s="9" t="inlineStr">
        <is>
          <t>$105.19</t>
        </is>
      </c>
      <c r="F8" s="9" t="inlineStr">
        <is>
          <t>$105.19</t>
        </is>
      </c>
      <c r="G8" s="10" t="inlineStr">
        <is>
          <t>0.00%</t>
        </is>
      </c>
      <c r="H8" s="10" t="inlineStr">
        <is>
          <t>Peak</t>
        </is>
      </c>
    </row>
    <row r="9">
      <c r="B9" s="7" t="n">
        <v>5</v>
      </c>
      <c r="C9" s="7" t="inlineStr">
        <is>
          <t>2020-05</t>
        </is>
      </c>
      <c r="D9" s="8" t="inlineStr">
        <is>
          <t>+2.80%</t>
        </is>
      </c>
      <c r="E9" s="7" t="inlineStr">
        <is>
          <t>$108.14</t>
        </is>
      </c>
      <c r="F9" s="7" t="inlineStr">
        <is>
          <t>$108.14</t>
        </is>
      </c>
      <c r="G9" s="8" t="inlineStr">
        <is>
          <t>0.00%</t>
        </is>
      </c>
      <c r="H9" s="8" t="inlineStr">
        <is>
          <t>Peak</t>
        </is>
      </c>
    </row>
    <row r="10">
      <c r="B10" s="9" t="n">
        <v>6</v>
      </c>
      <c r="C10" s="9" t="inlineStr">
        <is>
          <t>2020-06</t>
        </is>
      </c>
      <c r="D10" s="10" t="inlineStr">
        <is>
          <t>+1.95%</t>
        </is>
      </c>
      <c r="E10" s="9" t="inlineStr">
        <is>
          <t>$110.24</t>
        </is>
      </c>
      <c r="F10" s="9" t="inlineStr">
        <is>
          <t>$110.24</t>
        </is>
      </c>
      <c r="G10" s="10" t="inlineStr">
        <is>
          <t>0.00%</t>
        </is>
      </c>
      <c r="H10" s="10" t="inlineStr">
        <is>
          <t>Peak</t>
        </is>
      </c>
    </row>
    <row r="11">
      <c r="B11" s="7" t="n">
        <v>7</v>
      </c>
      <c r="C11" s="7" t="inlineStr">
        <is>
          <t>2020-07</t>
        </is>
      </c>
      <c r="D11" s="8" t="inlineStr">
        <is>
          <t>+3.10%</t>
        </is>
      </c>
      <c r="E11" s="7" t="inlineStr">
        <is>
          <t>$113.66</t>
        </is>
      </c>
      <c r="F11" s="7" t="inlineStr">
        <is>
          <t>$113.66</t>
        </is>
      </c>
      <c r="G11" s="8" t="inlineStr">
        <is>
          <t>0.00%</t>
        </is>
      </c>
      <c r="H11" s="8" t="inlineStr">
        <is>
          <t>Peak</t>
        </is>
      </c>
    </row>
    <row r="12">
      <c r="B12" s="9" t="n">
        <v>8</v>
      </c>
      <c r="C12" s="9" t="inlineStr">
        <is>
          <t>2020-08</t>
        </is>
      </c>
      <c r="D12" s="10" t="inlineStr">
        <is>
          <t>+2.45%</t>
        </is>
      </c>
      <c r="E12" s="9" t="inlineStr">
        <is>
          <t>$116.45</t>
        </is>
      </c>
      <c r="F12" s="9" t="inlineStr">
        <is>
          <t>$116.45</t>
        </is>
      </c>
      <c r="G12" s="10" t="inlineStr">
        <is>
          <t>0.00%</t>
        </is>
      </c>
      <c r="H12" s="10" t="inlineStr">
        <is>
          <t>Peak</t>
        </is>
      </c>
    </row>
    <row r="13">
      <c r="B13" s="7" t="n">
        <v>9</v>
      </c>
      <c r="C13" s="7" t="inlineStr">
        <is>
          <t>2020-09</t>
        </is>
      </c>
      <c r="D13" s="19" t="inlineStr">
        <is>
          <t>-1.80%</t>
        </is>
      </c>
      <c r="E13" s="7" t="inlineStr">
        <is>
          <t>$114.35</t>
        </is>
      </c>
      <c r="F13" s="7" t="inlineStr">
        <is>
          <t>$116.45</t>
        </is>
      </c>
      <c r="G13" s="31" t="inlineStr">
        <is>
          <t>-1.80%</t>
        </is>
      </c>
      <c r="H13" s="19" t="inlineStr">
        <is>
          <t>In DD</t>
        </is>
      </c>
    </row>
    <row r="14">
      <c r="B14" s="9" t="n">
        <v>10</v>
      </c>
      <c r="C14" s="9" t="inlineStr">
        <is>
          <t>2020-10</t>
        </is>
      </c>
      <c r="D14" s="10" t="inlineStr">
        <is>
          <t>+2.90%</t>
        </is>
      </c>
      <c r="E14" s="9" t="inlineStr">
        <is>
          <t>$117.67</t>
        </is>
      </c>
      <c r="F14" s="9" t="inlineStr">
        <is>
          <t>$117.67</t>
        </is>
      </c>
      <c r="G14" s="10" t="inlineStr">
        <is>
          <t>0.00%</t>
        </is>
      </c>
      <c r="H14" s="10" t="inlineStr">
        <is>
          <t>Peak</t>
        </is>
      </c>
    </row>
    <row r="15">
      <c r="B15" s="7" t="n">
        <v>11</v>
      </c>
      <c r="C15" s="7" t="inlineStr">
        <is>
          <t>2020-11</t>
        </is>
      </c>
      <c r="D15" s="8" t="inlineStr">
        <is>
          <t>+4.20%</t>
        </is>
      </c>
      <c r="E15" s="7" t="inlineStr">
        <is>
          <t>$122.61</t>
        </is>
      </c>
      <c r="F15" s="7" t="inlineStr">
        <is>
          <t>$122.61</t>
        </is>
      </c>
      <c r="G15" s="8" t="inlineStr">
        <is>
          <t>0.00%</t>
        </is>
      </c>
      <c r="H15" s="8" t="inlineStr">
        <is>
          <t>Peak</t>
        </is>
      </c>
    </row>
    <row r="16">
      <c r="B16" s="9" t="n">
        <v>12</v>
      </c>
      <c r="C16" s="9" t="inlineStr">
        <is>
          <t>2020-12</t>
        </is>
      </c>
      <c r="D16" s="10" t="inlineStr">
        <is>
          <t>+3.15%</t>
        </is>
      </c>
      <c r="E16" s="9" t="inlineStr">
        <is>
          <t>$126.47</t>
        </is>
      </c>
      <c r="F16" s="9" t="inlineStr">
        <is>
          <t>$126.47</t>
        </is>
      </c>
      <c r="G16" s="10" t="inlineStr">
        <is>
          <t>0.00%</t>
        </is>
      </c>
      <c r="H16" s="10" t="inlineStr">
        <is>
          <t>Peak</t>
        </is>
      </c>
    </row>
    <row r="17">
      <c r="B17" s="7" t="n">
        <v>13</v>
      </c>
      <c r="C17" s="7" t="inlineStr">
        <is>
          <t>2021-01</t>
        </is>
      </c>
      <c r="D17" s="8" t="inlineStr">
        <is>
          <t>+1.95%</t>
        </is>
      </c>
      <c r="E17" s="7" t="inlineStr">
        <is>
          <t>$128.94</t>
        </is>
      </c>
      <c r="F17" s="7" t="inlineStr">
        <is>
          <t>$128.94</t>
        </is>
      </c>
      <c r="G17" s="8" t="inlineStr">
        <is>
          <t>0.00%</t>
        </is>
      </c>
      <c r="H17" s="8" t="inlineStr">
        <is>
          <t>Peak</t>
        </is>
      </c>
    </row>
    <row r="18">
      <c r="B18" s="9" t="n">
        <v>14</v>
      </c>
      <c r="C18" s="9" t="inlineStr">
        <is>
          <t>2021-02</t>
        </is>
      </c>
      <c r="D18" s="10" t="inlineStr">
        <is>
          <t>+2.30%</t>
        </is>
      </c>
      <c r="E18" s="9" t="inlineStr">
        <is>
          <t>$131.90</t>
        </is>
      </c>
      <c r="F18" s="9" t="inlineStr">
        <is>
          <t>$131.90</t>
        </is>
      </c>
      <c r="G18" s="10" t="inlineStr">
        <is>
          <t>0.00%</t>
        </is>
      </c>
      <c r="H18" s="10" t="inlineStr">
        <is>
          <t>Peak</t>
        </is>
      </c>
    </row>
    <row r="19">
      <c r="B19" s="7" t="n">
        <v>15</v>
      </c>
      <c r="C19" s="7" t="inlineStr">
        <is>
          <t>2021-03</t>
        </is>
      </c>
      <c r="D19" s="8" t="inlineStr">
        <is>
          <t>+1.80%</t>
        </is>
      </c>
      <c r="E19" s="7" t="inlineStr">
        <is>
          <t>$134.28</t>
        </is>
      </c>
      <c r="F19" s="7" t="inlineStr">
        <is>
          <t>$134.28</t>
        </is>
      </c>
      <c r="G19" s="8" t="inlineStr">
        <is>
          <t>0.00%</t>
        </is>
      </c>
      <c r="H19" s="8" t="inlineStr">
        <is>
          <t>Peak</t>
        </is>
      </c>
    </row>
    <row r="20">
      <c r="B20" s="9" t="n">
        <v>16</v>
      </c>
      <c r="C20" s="9" t="inlineStr">
        <is>
          <t>2021-04</t>
        </is>
      </c>
      <c r="D20" s="10" t="inlineStr">
        <is>
          <t>+2.10%</t>
        </is>
      </c>
      <c r="E20" s="9" t="inlineStr">
        <is>
          <t>$137.10</t>
        </is>
      </c>
      <c r="F20" s="9" t="inlineStr">
        <is>
          <t>$137.10</t>
        </is>
      </c>
      <c r="G20" s="10" t="inlineStr">
        <is>
          <t>0.00%</t>
        </is>
      </c>
      <c r="H20" s="10" t="inlineStr">
        <is>
          <t>Peak</t>
        </is>
      </c>
    </row>
    <row r="21">
      <c r="B21" s="7" t="n">
        <v>17</v>
      </c>
      <c r="C21" s="7" t="inlineStr">
        <is>
          <t>2021-05</t>
        </is>
      </c>
      <c r="D21" s="19" t="inlineStr">
        <is>
          <t>-0.90%</t>
        </is>
      </c>
      <c r="E21" s="7" t="inlineStr">
        <is>
          <t>$135.86</t>
        </is>
      </c>
      <c r="F21" s="7" t="inlineStr">
        <is>
          <t>$137.10</t>
        </is>
      </c>
      <c r="G21" s="31" t="inlineStr">
        <is>
          <t>-0.90%</t>
        </is>
      </c>
      <c r="H21" s="19" t="inlineStr">
        <is>
          <t>In DD</t>
        </is>
      </c>
    </row>
    <row r="22">
      <c r="B22" s="9" t="n">
        <v>18</v>
      </c>
      <c r="C22" s="9" t="inlineStr">
        <is>
          <t>2021-06</t>
        </is>
      </c>
      <c r="D22" s="10" t="inlineStr">
        <is>
          <t>+2.45%</t>
        </is>
      </c>
      <c r="E22" s="9" t="inlineStr">
        <is>
          <t>$139.19</t>
        </is>
      </c>
      <c r="F22" s="9" t="inlineStr">
        <is>
          <t>$139.19</t>
        </is>
      </c>
      <c r="G22" s="10" t="inlineStr">
        <is>
          <t>0.00%</t>
        </is>
      </c>
      <c r="H22" s="10" t="inlineStr">
        <is>
          <t>Peak</t>
        </is>
      </c>
    </row>
    <row r="23">
      <c r="B23" s="7" t="n">
        <v>19</v>
      </c>
      <c r="C23" s="7" t="inlineStr">
        <is>
          <t>2021-07</t>
        </is>
      </c>
      <c r="D23" s="8" t="inlineStr">
        <is>
          <t>+1.70%</t>
        </is>
      </c>
      <c r="E23" s="7" t="inlineStr">
        <is>
          <t>$141.56</t>
        </is>
      </c>
      <c r="F23" s="7" t="inlineStr">
        <is>
          <t>$141.56</t>
        </is>
      </c>
      <c r="G23" s="8" t="inlineStr">
        <is>
          <t>0.00%</t>
        </is>
      </c>
      <c r="H23" s="8" t="inlineStr">
        <is>
          <t>Peak</t>
        </is>
      </c>
    </row>
    <row r="24">
      <c r="B24" s="9" t="n">
        <v>20</v>
      </c>
      <c r="C24" s="9" t="inlineStr">
        <is>
          <t>2021-08</t>
        </is>
      </c>
      <c r="D24" s="10" t="inlineStr">
        <is>
          <t>+2.85%</t>
        </is>
      </c>
      <c r="E24" s="9" t="inlineStr">
        <is>
          <t>$145.59</t>
        </is>
      </c>
      <c r="F24" s="9" t="inlineStr">
        <is>
          <t>$145.59</t>
        </is>
      </c>
      <c r="G24" s="10" t="inlineStr">
        <is>
          <t>0.00%</t>
        </is>
      </c>
      <c r="H24" s="10" t="inlineStr">
        <is>
          <t>Peak</t>
        </is>
      </c>
    </row>
    <row r="25">
      <c r="B25" s="7" t="n">
        <v>21</v>
      </c>
      <c r="C25" s="7" t="inlineStr">
        <is>
          <t>2021-09</t>
        </is>
      </c>
      <c r="D25" s="19" t="inlineStr">
        <is>
          <t>-2.10%</t>
        </is>
      </c>
      <c r="E25" s="7" t="inlineStr">
        <is>
          <t>$142.54</t>
        </is>
      </c>
      <c r="F25" s="7" t="inlineStr">
        <is>
          <t>$145.59</t>
        </is>
      </c>
      <c r="G25" s="31" t="inlineStr">
        <is>
          <t>-2.10%</t>
        </is>
      </c>
      <c r="H25" s="19" t="inlineStr">
        <is>
          <t>In DD</t>
        </is>
      </c>
    </row>
    <row r="26">
      <c r="B26" s="9" t="n">
        <v>22</v>
      </c>
      <c r="C26" s="9" t="inlineStr">
        <is>
          <t>2021-10</t>
        </is>
      </c>
      <c r="D26" s="10" t="inlineStr">
        <is>
          <t>+3.20%</t>
        </is>
      </c>
      <c r="E26" s="9" t="inlineStr">
        <is>
          <t>$147.10</t>
        </is>
      </c>
      <c r="F26" s="9" t="inlineStr">
        <is>
          <t>$147.10</t>
        </is>
      </c>
      <c r="G26" s="10" t="inlineStr">
        <is>
          <t>0.00%</t>
        </is>
      </c>
      <c r="H26" s="10" t="inlineStr">
        <is>
          <t>Peak</t>
        </is>
      </c>
    </row>
    <row r="27">
      <c r="B27" s="7" t="n">
        <v>23</v>
      </c>
      <c r="C27" s="7" t="inlineStr">
        <is>
          <t>2021-11</t>
        </is>
      </c>
      <c r="D27" s="8" t="inlineStr">
        <is>
          <t>+1.95%</t>
        </is>
      </c>
      <c r="E27" s="7" t="inlineStr">
        <is>
          <t>$149.97</t>
        </is>
      </c>
      <c r="F27" s="7" t="inlineStr">
        <is>
          <t>$149.97</t>
        </is>
      </c>
      <c r="G27" s="8" t="inlineStr">
        <is>
          <t>0.00%</t>
        </is>
      </c>
      <c r="H27" s="8" t="inlineStr">
        <is>
          <t>Peak</t>
        </is>
      </c>
    </row>
    <row r="28">
      <c r="B28" s="9" t="n">
        <v>24</v>
      </c>
      <c r="C28" s="9" t="inlineStr">
        <is>
          <t>2021-12</t>
        </is>
      </c>
      <c r="D28" s="10" t="inlineStr">
        <is>
          <t>+2.80%</t>
        </is>
      </c>
      <c r="E28" s="9" t="inlineStr">
        <is>
          <t>$154.16</t>
        </is>
      </c>
      <c r="F28" s="9" t="inlineStr">
        <is>
          <t>$154.16</t>
        </is>
      </c>
      <c r="G28" s="10" t="inlineStr">
        <is>
          <t>0.00%</t>
        </is>
      </c>
      <c r="H28" s="10" t="inlineStr">
        <is>
          <t>Peak</t>
        </is>
      </c>
    </row>
    <row r="29">
      <c r="B29" s="7" t="n">
        <v>25</v>
      </c>
      <c r="C29" s="7" t="inlineStr">
        <is>
          <t>2022-01</t>
        </is>
      </c>
      <c r="D29" s="19" t="inlineStr">
        <is>
          <t>-1.50%</t>
        </is>
      </c>
      <c r="E29" s="7" t="inlineStr">
        <is>
          <t>$151.85</t>
        </is>
      </c>
      <c r="F29" s="7" t="inlineStr">
        <is>
          <t>$154.16</t>
        </is>
      </c>
      <c r="G29" s="31" t="inlineStr">
        <is>
          <t>-1.50%</t>
        </is>
      </c>
      <c r="H29" s="19" t="inlineStr">
        <is>
          <t>In DD</t>
        </is>
      </c>
    </row>
    <row r="30">
      <c r="B30" s="9" t="n">
        <v>26</v>
      </c>
      <c r="C30" s="9" t="inlineStr">
        <is>
          <t>2022-02</t>
        </is>
      </c>
      <c r="D30" s="11" t="inlineStr">
        <is>
          <t>-2.80%</t>
        </is>
      </c>
      <c r="E30" s="9" t="inlineStr">
        <is>
          <t>$147.60</t>
        </is>
      </c>
      <c r="F30" s="9" t="inlineStr">
        <is>
          <t>$154.16</t>
        </is>
      </c>
      <c r="G30" s="32" t="inlineStr">
        <is>
          <t>-4.26%</t>
        </is>
      </c>
      <c r="H30" s="11" t="inlineStr">
        <is>
          <t>In DD</t>
        </is>
      </c>
    </row>
    <row r="31">
      <c r="B31" s="7" t="n">
        <v>27</v>
      </c>
      <c r="C31" s="7" t="inlineStr">
        <is>
          <t>2022-03</t>
        </is>
      </c>
      <c r="D31" s="8" t="inlineStr">
        <is>
          <t>+1.20%</t>
        </is>
      </c>
      <c r="E31" s="7" t="inlineStr">
        <is>
          <t>$149.37</t>
        </is>
      </c>
      <c r="F31" s="7" t="inlineStr">
        <is>
          <t>$154.16</t>
        </is>
      </c>
      <c r="G31" s="31" t="inlineStr">
        <is>
          <t>-3.11%</t>
        </is>
      </c>
      <c r="H31" s="19" t="inlineStr">
        <is>
          <t>In DD</t>
        </is>
      </c>
    </row>
    <row r="32">
      <c r="B32" s="9" t="n">
        <v>28</v>
      </c>
      <c r="C32" s="9" t="inlineStr">
        <is>
          <t>2022-04</t>
        </is>
      </c>
      <c r="D32" s="11" t="inlineStr">
        <is>
          <t>-1.90%</t>
        </is>
      </c>
      <c r="E32" s="9" t="inlineStr">
        <is>
          <t>$146.53</t>
        </is>
      </c>
      <c r="F32" s="9" t="inlineStr">
        <is>
          <t>$154.16</t>
        </is>
      </c>
      <c r="G32" s="32" t="inlineStr">
        <is>
          <t>-4.95%</t>
        </is>
      </c>
      <c r="H32" s="11" t="inlineStr">
        <is>
          <t>In DD</t>
        </is>
      </c>
    </row>
    <row r="33">
      <c r="B33" s="7" t="n">
        <v>29</v>
      </c>
      <c r="C33" s="7" t="inlineStr">
        <is>
          <t>2022-05</t>
        </is>
      </c>
      <c r="D33" s="19" t="inlineStr">
        <is>
          <t>-3.40%</t>
        </is>
      </c>
      <c r="E33" s="7" t="inlineStr">
        <is>
          <t>$141.55</t>
        </is>
      </c>
      <c r="F33" s="7" t="inlineStr">
        <is>
          <t>$154.16</t>
        </is>
      </c>
      <c r="G33" s="19" t="inlineStr">
        <is>
          <t>-8.18%</t>
        </is>
      </c>
      <c r="H33" s="19" t="inlineStr">
        <is>
          <t>In DD</t>
        </is>
      </c>
    </row>
    <row r="34">
      <c r="B34" s="9" t="n">
        <v>30</v>
      </c>
      <c r="C34" s="9" t="inlineStr">
        <is>
          <t>2022-06</t>
        </is>
      </c>
      <c r="D34" s="11" t="inlineStr">
        <is>
          <t>-2.10%</t>
        </is>
      </c>
      <c r="E34" s="9" t="inlineStr">
        <is>
          <t>$138.58</t>
        </is>
      </c>
      <c r="F34" s="9" t="inlineStr">
        <is>
          <t>$154.16</t>
        </is>
      </c>
      <c r="G34" s="11" t="inlineStr">
        <is>
          <t>-10.11%</t>
        </is>
      </c>
      <c r="H34" s="11" t="inlineStr">
        <is>
          <t>In DD</t>
        </is>
      </c>
    </row>
    <row r="35">
      <c r="B35" s="7" t="n">
        <v>31</v>
      </c>
      <c r="C35" s="7" t="inlineStr">
        <is>
          <t>2022-07</t>
        </is>
      </c>
      <c r="D35" s="8" t="inlineStr">
        <is>
          <t>+2.50%</t>
        </is>
      </c>
      <c r="E35" s="7" t="inlineStr">
        <is>
          <t>$142.04</t>
        </is>
      </c>
      <c r="F35" s="7" t="inlineStr">
        <is>
          <t>$154.16</t>
        </is>
      </c>
      <c r="G35" s="19" t="inlineStr">
        <is>
          <t>-7.86%</t>
        </is>
      </c>
      <c r="H35" s="19" t="inlineStr">
        <is>
          <t>In DD</t>
        </is>
      </c>
    </row>
    <row r="36">
      <c r="B36" s="9" t="n">
        <v>32</v>
      </c>
      <c r="C36" s="9" t="inlineStr">
        <is>
          <t>2022-08</t>
        </is>
      </c>
      <c r="D36" s="10" t="inlineStr">
        <is>
          <t>+1.80%</t>
        </is>
      </c>
      <c r="E36" s="9" t="inlineStr">
        <is>
          <t>$144.60</t>
        </is>
      </c>
      <c r="F36" s="9" t="inlineStr">
        <is>
          <t>$154.16</t>
        </is>
      </c>
      <c r="G36" s="11" t="inlineStr">
        <is>
          <t>-6.20%</t>
        </is>
      </c>
      <c r="H36" s="11" t="inlineStr">
        <is>
          <t>In DD</t>
        </is>
      </c>
    </row>
    <row r="37">
      <c r="B37" s="7" t="n">
        <v>33</v>
      </c>
      <c r="C37" s="7" t="inlineStr">
        <is>
          <t>2022-09</t>
        </is>
      </c>
      <c r="D37" s="19" t="inlineStr">
        <is>
          <t>-4.20%</t>
        </is>
      </c>
      <c r="E37" s="7" t="inlineStr">
        <is>
          <t>$138.53</t>
        </is>
      </c>
      <c r="F37" s="7" t="inlineStr">
        <is>
          <t>$154.16</t>
        </is>
      </c>
      <c r="G37" s="19" t="inlineStr">
        <is>
          <t>-10.14%</t>
        </is>
      </c>
      <c r="H37" s="19" t="inlineStr">
        <is>
          <t>In DD</t>
        </is>
      </c>
    </row>
    <row r="38">
      <c r="B38" s="9" t="n">
        <v>34</v>
      </c>
      <c r="C38" s="9" t="inlineStr">
        <is>
          <t>2022-10</t>
        </is>
      </c>
      <c r="D38" s="10" t="inlineStr">
        <is>
          <t>+3.10%</t>
        </is>
      </c>
      <c r="E38" s="9" t="inlineStr">
        <is>
          <t>$142.82</t>
        </is>
      </c>
      <c r="F38" s="9" t="inlineStr">
        <is>
          <t>$154.16</t>
        </is>
      </c>
      <c r="G38" s="11" t="inlineStr">
        <is>
          <t>-7.36%</t>
        </is>
      </c>
      <c r="H38" s="11" t="inlineStr">
        <is>
          <t>In DD</t>
        </is>
      </c>
    </row>
    <row r="39">
      <c r="B39" s="7" t="n">
        <v>35</v>
      </c>
      <c r="C39" s="7" t="inlineStr">
        <is>
          <t>2022-11</t>
        </is>
      </c>
      <c r="D39" s="8" t="inlineStr">
        <is>
          <t>+2.40%</t>
        </is>
      </c>
      <c r="E39" s="7" t="inlineStr">
        <is>
          <t>$146.25</t>
        </is>
      </c>
      <c r="F39" s="7" t="inlineStr">
        <is>
          <t>$154.16</t>
        </is>
      </c>
      <c r="G39" s="19" t="inlineStr">
        <is>
          <t>-5.13%</t>
        </is>
      </c>
      <c r="H39" s="19" t="inlineStr">
        <is>
          <t>In DD</t>
        </is>
      </c>
    </row>
    <row r="40">
      <c r="B40" s="9" t="n">
        <v>36</v>
      </c>
      <c r="C40" s="9" t="inlineStr">
        <is>
          <t>2022-12</t>
        </is>
      </c>
      <c r="D40" s="10" t="inlineStr">
        <is>
          <t>+1.90%</t>
        </is>
      </c>
      <c r="E40" s="9" t="inlineStr">
        <is>
          <t>$149.03</t>
        </is>
      </c>
      <c r="F40" s="9" t="inlineStr">
        <is>
          <t>$154.16</t>
        </is>
      </c>
      <c r="G40" s="32" t="inlineStr">
        <is>
          <t>-3.33%</t>
        </is>
      </c>
      <c r="H40" s="11" t="inlineStr">
        <is>
          <t>In DD</t>
        </is>
      </c>
    </row>
    <row r="41">
      <c r="B41" s="7" t="n">
        <v>37</v>
      </c>
      <c r="C41" s="7" t="inlineStr">
        <is>
          <t>2023-01</t>
        </is>
      </c>
      <c r="D41" s="8" t="inlineStr">
        <is>
          <t>+2.80%</t>
        </is>
      </c>
      <c r="E41" s="7" t="inlineStr">
        <is>
          <t>$153.20</t>
        </is>
      </c>
      <c r="F41" s="7" t="inlineStr">
        <is>
          <t>$154.16</t>
        </is>
      </c>
      <c r="G41" s="31" t="inlineStr">
        <is>
          <t>-0.63%</t>
        </is>
      </c>
      <c r="H41" s="19" t="inlineStr">
        <is>
          <t>In DD</t>
        </is>
      </c>
    </row>
    <row r="42">
      <c r="B42" s="9" t="n">
        <v>38</v>
      </c>
      <c r="C42" s="9" t="inlineStr">
        <is>
          <t>2023-02</t>
        </is>
      </c>
      <c r="D42" s="10" t="inlineStr">
        <is>
          <t>+1.90%</t>
        </is>
      </c>
      <c r="E42" s="9" t="inlineStr">
        <is>
          <t>$156.11</t>
        </is>
      </c>
      <c r="F42" s="9" t="inlineStr">
        <is>
          <t>$156.11</t>
        </is>
      </c>
      <c r="G42" s="10" t="inlineStr">
        <is>
          <t>0.00%</t>
        </is>
      </c>
      <c r="H42" s="10" t="inlineStr">
        <is>
          <t>Peak</t>
        </is>
      </c>
    </row>
    <row r="43">
      <c r="B43" s="7" t="n">
        <v>39</v>
      </c>
      <c r="C43" s="7" t="inlineStr">
        <is>
          <t>2023-03</t>
        </is>
      </c>
      <c r="D43" s="8" t="inlineStr">
        <is>
          <t>+2.10%</t>
        </is>
      </c>
      <c r="E43" s="7" t="inlineStr">
        <is>
          <t>$159.39</t>
        </is>
      </c>
      <c r="F43" s="7" t="inlineStr">
        <is>
          <t>$159.39</t>
        </is>
      </c>
      <c r="G43" s="8" t="inlineStr">
        <is>
          <t>0.00%</t>
        </is>
      </c>
      <c r="H43" s="8" t="inlineStr">
        <is>
          <t>Peak</t>
        </is>
      </c>
    </row>
    <row r="44">
      <c r="B44" s="9" t="n">
        <v>40</v>
      </c>
      <c r="C44" s="9" t="inlineStr">
        <is>
          <t>2023-04</t>
        </is>
      </c>
      <c r="D44" s="10" t="inlineStr">
        <is>
          <t>+1.50%</t>
        </is>
      </c>
      <c r="E44" s="9" t="inlineStr">
        <is>
          <t>$161.78</t>
        </is>
      </c>
      <c r="F44" s="9" t="inlineStr">
        <is>
          <t>$161.78</t>
        </is>
      </c>
      <c r="G44" s="10" t="inlineStr">
        <is>
          <t>0.00%</t>
        </is>
      </c>
      <c r="H44" s="10" t="inlineStr">
        <is>
          <t>Peak</t>
        </is>
      </c>
    </row>
    <row r="45">
      <c r="B45" s="7" t="n">
        <v>41</v>
      </c>
      <c r="C45" s="7" t="inlineStr">
        <is>
          <t>2023-05</t>
        </is>
      </c>
      <c r="D45" s="8" t="inlineStr">
        <is>
          <t>+2.30%</t>
        </is>
      </c>
      <c r="E45" s="7" t="inlineStr">
        <is>
          <t>$165.50</t>
        </is>
      </c>
      <c r="F45" s="7" t="inlineStr">
        <is>
          <t>$165.50</t>
        </is>
      </c>
      <c r="G45" s="8" t="inlineStr">
        <is>
          <t>0.00%</t>
        </is>
      </c>
      <c r="H45" s="8" t="inlineStr">
        <is>
          <t>Peak</t>
        </is>
      </c>
    </row>
    <row r="46">
      <c r="B46" s="9" t="n">
        <v>42</v>
      </c>
      <c r="C46" s="9" t="inlineStr">
        <is>
          <t>2023-06</t>
        </is>
      </c>
      <c r="D46" s="10" t="inlineStr">
        <is>
          <t>+1.80%</t>
        </is>
      </c>
      <c r="E46" s="9" t="inlineStr">
        <is>
          <t>$168.48</t>
        </is>
      </c>
      <c r="F46" s="9" t="inlineStr">
        <is>
          <t>$168.48</t>
        </is>
      </c>
      <c r="G46" s="10" t="inlineStr">
        <is>
          <t>0.00%</t>
        </is>
      </c>
      <c r="H46" s="10" t="inlineStr">
        <is>
          <t>Peak</t>
        </is>
      </c>
    </row>
    <row r="47">
      <c r="B47" s="7" t="n">
        <v>43</v>
      </c>
      <c r="C47" s="7" t="inlineStr">
        <is>
          <t>2023-07</t>
        </is>
      </c>
      <c r="D47" s="8" t="inlineStr">
        <is>
          <t>+2.40%</t>
        </is>
      </c>
      <c r="E47" s="7" t="inlineStr">
        <is>
          <t>$172.52</t>
        </is>
      </c>
      <c r="F47" s="7" t="inlineStr">
        <is>
          <t>$172.52</t>
        </is>
      </c>
      <c r="G47" s="8" t="inlineStr">
        <is>
          <t>0.00%</t>
        </is>
      </c>
      <c r="H47" s="8" t="inlineStr">
        <is>
          <t>Peak</t>
        </is>
      </c>
    </row>
    <row r="48">
      <c r="B48" s="9" t="n">
        <v>44</v>
      </c>
      <c r="C48" s="9" t="inlineStr">
        <is>
          <t>2023-08</t>
        </is>
      </c>
      <c r="D48" s="11" t="inlineStr">
        <is>
          <t>-1.20%</t>
        </is>
      </c>
      <c r="E48" s="9" t="inlineStr">
        <is>
          <t>$170.45</t>
        </is>
      </c>
      <c r="F48" s="9" t="inlineStr">
        <is>
          <t>$172.52</t>
        </is>
      </c>
      <c r="G48" s="32" t="inlineStr">
        <is>
          <t>-1.20%</t>
        </is>
      </c>
      <c r="H48" s="11" t="inlineStr">
        <is>
          <t>In DD</t>
        </is>
      </c>
    </row>
    <row r="49">
      <c r="B49" s="7" t="n">
        <v>45</v>
      </c>
      <c r="C49" s="7" t="inlineStr">
        <is>
          <t>2023-09</t>
        </is>
      </c>
      <c r="D49" s="8" t="inlineStr">
        <is>
          <t>+1.90%</t>
        </is>
      </c>
      <c r="E49" s="7" t="inlineStr">
        <is>
          <t>$173.69</t>
        </is>
      </c>
      <c r="F49" s="7" t="inlineStr">
        <is>
          <t>$173.69</t>
        </is>
      </c>
      <c r="G49" s="8" t="inlineStr">
        <is>
          <t>0.00%</t>
        </is>
      </c>
      <c r="H49" s="8" t="inlineStr">
        <is>
          <t>Peak</t>
        </is>
      </c>
    </row>
    <row r="50">
      <c r="B50" s="9" t="n">
        <v>46</v>
      </c>
      <c r="C50" s="9" t="inlineStr">
        <is>
          <t>2023-10</t>
        </is>
      </c>
      <c r="D50" s="10" t="inlineStr">
        <is>
          <t>+2.10%</t>
        </is>
      </c>
      <c r="E50" s="9" t="inlineStr">
        <is>
          <t>$177.34</t>
        </is>
      </c>
      <c r="F50" s="9" t="inlineStr">
        <is>
          <t>$177.34</t>
        </is>
      </c>
      <c r="G50" s="10" t="inlineStr">
        <is>
          <t>0.00%</t>
        </is>
      </c>
      <c r="H50" s="10" t="inlineStr">
        <is>
          <t>Peak</t>
        </is>
      </c>
    </row>
    <row r="51">
      <c r="B51" s="7" t="n">
        <v>47</v>
      </c>
      <c r="C51" s="7" t="inlineStr">
        <is>
          <t>2023-11</t>
        </is>
      </c>
      <c r="D51" s="8" t="inlineStr">
        <is>
          <t>+3.20%</t>
        </is>
      </c>
      <c r="E51" s="7" t="inlineStr">
        <is>
          <t>$183.01</t>
        </is>
      </c>
      <c r="F51" s="7" t="inlineStr">
        <is>
          <t>$183.01</t>
        </is>
      </c>
      <c r="G51" s="8" t="inlineStr">
        <is>
          <t>0.00%</t>
        </is>
      </c>
      <c r="H51" s="8" t="inlineStr">
        <is>
          <t>Peak</t>
        </is>
      </c>
    </row>
    <row r="52">
      <c r="B52" s="9" t="n">
        <v>48</v>
      </c>
      <c r="C52" s="9" t="inlineStr">
        <is>
          <t>2023-12</t>
        </is>
      </c>
      <c r="D52" s="10" t="inlineStr">
        <is>
          <t>+2.50%</t>
        </is>
      </c>
      <c r="E52" s="9" t="inlineStr">
        <is>
          <t>$187.59</t>
        </is>
      </c>
      <c r="F52" s="9" t="inlineStr">
        <is>
          <t>$187.59</t>
        </is>
      </c>
      <c r="G52" s="10" t="inlineStr">
        <is>
          <t>0.00%</t>
        </is>
      </c>
      <c r="H52" s="10" t="inlineStr">
        <is>
          <t>Peak</t>
        </is>
      </c>
    </row>
    <row r="53">
      <c r="B53" s="7" t="n">
        <v>49</v>
      </c>
      <c r="C53" s="7" t="inlineStr">
        <is>
          <t>2024-01</t>
        </is>
      </c>
      <c r="D53" s="8" t="inlineStr">
        <is>
          <t>+1.80%</t>
        </is>
      </c>
      <c r="E53" s="7" t="inlineStr">
        <is>
          <t>$190.97</t>
        </is>
      </c>
      <c r="F53" s="7" t="inlineStr">
        <is>
          <t>$190.97</t>
        </is>
      </c>
      <c r="G53" s="8" t="inlineStr">
        <is>
          <t>0.00%</t>
        </is>
      </c>
      <c r="H53" s="8" t="inlineStr">
        <is>
          <t>Peak</t>
        </is>
      </c>
    </row>
    <row r="54">
      <c r="B54" s="9" t="n">
        <v>50</v>
      </c>
      <c r="C54" s="9" t="inlineStr">
        <is>
          <t>2024-02</t>
        </is>
      </c>
      <c r="D54" s="10" t="inlineStr">
        <is>
          <t>+2.10%</t>
        </is>
      </c>
      <c r="E54" s="9" t="inlineStr">
        <is>
          <t>$194.98</t>
        </is>
      </c>
      <c r="F54" s="9" t="inlineStr">
        <is>
          <t>$194.98</t>
        </is>
      </c>
      <c r="G54" s="10" t="inlineStr">
        <is>
          <t>0.00%</t>
        </is>
      </c>
      <c r="H54" s="10" t="inlineStr">
        <is>
          <t>Peak</t>
        </is>
      </c>
    </row>
    <row r="55">
      <c r="B55" s="7" t="n">
        <v>51</v>
      </c>
      <c r="C55" s="7" t="inlineStr">
        <is>
          <t>2024-03</t>
        </is>
      </c>
      <c r="D55" s="8" t="inlineStr">
        <is>
          <t>+1.50%</t>
        </is>
      </c>
      <c r="E55" s="7" t="inlineStr">
        <is>
          <t>$197.90</t>
        </is>
      </c>
      <c r="F55" s="7" t="inlineStr">
        <is>
          <t>$197.90</t>
        </is>
      </c>
      <c r="G55" s="8" t="inlineStr">
        <is>
          <t>0.00%</t>
        </is>
      </c>
      <c r="H55" s="8" t="inlineStr">
        <is>
          <t>Peak</t>
        </is>
      </c>
    </row>
    <row r="56">
      <c r="B56" s="9" t="n">
        <v>52</v>
      </c>
      <c r="C56" s="9" t="inlineStr">
        <is>
          <t>2024-04</t>
        </is>
      </c>
      <c r="D56" s="10" t="inlineStr">
        <is>
          <t>+2.30%</t>
        </is>
      </c>
      <c r="E56" s="9" t="inlineStr">
        <is>
          <t>$202.45</t>
        </is>
      </c>
      <c r="F56" s="9" t="inlineStr">
        <is>
          <t>$202.45</t>
        </is>
      </c>
      <c r="G56" s="10" t="inlineStr">
        <is>
          <t>0.00%</t>
        </is>
      </c>
      <c r="H56" s="10" t="inlineStr">
        <is>
          <t>Peak</t>
        </is>
      </c>
    </row>
    <row r="57">
      <c r="B57" s="7" t="n">
        <v>53</v>
      </c>
      <c r="C57" s="7" t="inlineStr">
        <is>
          <t>2024-05</t>
        </is>
      </c>
      <c r="D57" s="8" t="inlineStr">
        <is>
          <t>+1.20%</t>
        </is>
      </c>
      <c r="E57" s="7" t="inlineStr">
        <is>
          <t>$204.88</t>
        </is>
      </c>
      <c r="F57" s="7" t="inlineStr">
        <is>
          <t>$204.88</t>
        </is>
      </c>
      <c r="G57" s="8" t="inlineStr">
        <is>
          <t>0.00%</t>
        </is>
      </c>
      <c r="H57" s="8" t="inlineStr">
        <is>
          <t>Peak</t>
        </is>
      </c>
    </row>
    <row r="58">
      <c r="B58" s="9" t="n">
        <v>54</v>
      </c>
      <c r="C58" s="9" t="inlineStr">
        <is>
          <t>2024-06</t>
        </is>
      </c>
      <c r="D58" s="10" t="inlineStr">
        <is>
          <t>+1.90%</t>
        </is>
      </c>
      <c r="E58" s="9" t="inlineStr">
        <is>
          <t>$208.77</t>
        </is>
      </c>
      <c r="F58" s="9" t="inlineStr">
        <is>
          <t>$208.77</t>
        </is>
      </c>
      <c r="G58" s="10" t="inlineStr">
        <is>
          <t>0.00%</t>
        </is>
      </c>
      <c r="H58" s="10" t="inlineStr">
        <is>
          <t>Peak</t>
        </is>
      </c>
    </row>
    <row r="59">
      <c r="B59" s="7" t="n">
        <v>55</v>
      </c>
      <c r="C59" s="7" t="inlineStr">
        <is>
          <t>2024-07</t>
        </is>
      </c>
      <c r="D59" s="8" t="inlineStr">
        <is>
          <t>+2.10%</t>
        </is>
      </c>
      <c r="E59" s="7" t="inlineStr">
        <is>
          <t>$213.16</t>
        </is>
      </c>
      <c r="F59" s="7" t="inlineStr">
        <is>
          <t>$213.16</t>
        </is>
      </c>
      <c r="G59" s="8" t="inlineStr">
        <is>
          <t>0.00%</t>
        </is>
      </c>
      <c r="H59" s="8" t="inlineStr">
        <is>
          <t>Peak</t>
        </is>
      </c>
    </row>
    <row r="60">
      <c r="B60" s="9" t="n">
        <v>56</v>
      </c>
      <c r="C60" s="9" t="inlineStr">
        <is>
          <t>2024-08</t>
        </is>
      </c>
      <c r="D60" s="10" t="inlineStr">
        <is>
          <t>+1.80%</t>
        </is>
      </c>
      <c r="E60" s="9" t="inlineStr">
        <is>
          <t>$217.00</t>
        </is>
      </c>
      <c r="F60" s="9" t="inlineStr">
        <is>
          <t>$217.00</t>
        </is>
      </c>
      <c r="G60" s="10" t="inlineStr">
        <is>
          <t>0.00%</t>
        </is>
      </c>
      <c r="H60" s="10" t="inlineStr">
        <is>
          <t>Peak</t>
        </is>
      </c>
    </row>
    <row r="61">
      <c r="B61" s="7" t="n">
        <v>57</v>
      </c>
      <c r="C61" s="7" t="inlineStr">
        <is>
          <t>2024-09</t>
        </is>
      </c>
      <c r="D61" s="8" t="inlineStr">
        <is>
          <t>+1.50%</t>
        </is>
      </c>
      <c r="E61" s="7" t="inlineStr">
        <is>
          <t>$220.25</t>
        </is>
      </c>
      <c r="F61" s="7" t="inlineStr">
        <is>
          <t>$220.25</t>
        </is>
      </c>
      <c r="G61" s="8" t="inlineStr">
        <is>
          <t>0.00%</t>
        </is>
      </c>
      <c r="H61" s="8" t="inlineStr">
        <is>
          <t>Peak</t>
        </is>
      </c>
    </row>
    <row r="62">
      <c r="B62" s="9" t="n">
        <v>58</v>
      </c>
      <c r="C62" s="9" t="inlineStr">
        <is>
          <t>2024-10</t>
        </is>
      </c>
      <c r="D62" s="10" t="inlineStr">
        <is>
          <t>+1.90%</t>
        </is>
      </c>
      <c r="E62" s="9" t="inlineStr">
        <is>
          <t>$224.44</t>
        </is>
      </c>
      <c r="F62" s="9" t="inlineStr">
        <is>
          <t>$224.44</t>
        </is>
      </c>
      <c r="G62" s="10" t="inlineStr">
        <is>
          <t>0.00%</t>
        </is>
      </c>
      <c r="H62" s="10" t="inlineStr">
        <is>
          <t>Peak</t>
        </is>
      </c>
    </row>
    <row r="63">
      <c r="B63" s="7" t="n">
        <v>59</v>
      </c>
      <c r="C63" s="7" t="inlineStr">
        <is>
          <t>2024-11</t>
        </is>
      </c>
      <c r="D63" s="8" t="inlineStr">
        <is>
          <t>+2.30%</t>
        </is>
      </c>
      <c r="E63" s="7" t="inlineStr">
        <is>
          <t>$229.60</t>
        </is>
      </c>
      <c r="F63" s="7" t="inlineStr">
        <is>
          <t>$229.60</t>
        </is>
      </c>
      <c r="G63" s="8" t="inlineStr">
        <is>
          <t>0.00%</t>
        </is>
      </c>
      <c r="H63" s="8" t="inlineStr">
        <is>
          <t>Peak</t>
        </is>
      </c>
    </row>
    <row r="64">
      <c r="B64" s="9" t="n">
        <v>60</v>
      </c>
      <c r="C64" s="9" t="inlineStr">
        <is>
          <t>2024-12</t>
        </is>
      </c>
      <c r="D64" s="10" t="inlineStr">
        <is>
          <t>+1.60%</t>
        </is>
      </c>
      <c r="E64" s="9" t="inlineStr">
        <is>
          <t>$233.27</t>
        </is>
      </c>
      <c r="F64" s="9" t="inlineStr">
        <is>
          <t>$233.27</t>
        </is>
      </c>
      <c r="G64" s="10" t="inlineStr">
        <is>
          <t>0.00%</t>
        </is>
      </c>
      <c r="H64" s="10" t="inlineStr">
        <is>
          <t>Peak</t>
        </is>
      </c>
    </row>
    <row r="66">
      <c r="B66" s="3" t="inlineStr">
        <is>
          <t>MAXIMUM DRAWDOWN</t>
        </is>
      </c>
    </row>
    <row r="67">
      <c r="B67" s="33" t="inlineStr">
        <is>
          <t>-10.14%</t>
        </is>
      </c>
    </row>
    <row r="68">
      <c r="B68" s="16" t="inlineStr">
        <is>
          <t>Formula: min[(Value - Peak) / Peak]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2">
      <c r="B2" s="15" t="inlineStr">
        <is>
          <t>BENCHMARK COMPARISON</t>
        </is>
      </c>
    </row>
    <row r="4">
      <c r="B4" s="6" t="inlineStr">
        <is>
          <t>#</t>
        </is>
      </c>
      <c r="C4" s="6" t="inlineStr">
        <is>
          <t>Date</t>
        </is>
      </c>
      <c r="D4" s="6" t="inlineStr">
        <is>
          <t>Portfolio</t>
        </is>
      </c>
      <c r="E4" s="6" t="inlineStr">
        <is>
          <t>Benchmark</t>
        </is>
      </c>
      <c r="F4" s="6" t="inlineStr">
        <is>
          <t>Excess</t>
        </is>
      </c>
      <c r="G4" s="6" t="inlineStr">
        <is>
          <t>Port Cum</t>
        </is>
      </c>
      <c r="H4" s="6" t="inlineStr">
        <is>
          <t>Bench Cum</t>
        </is>
      </c>
    </row>
    <row r="5">
      <c r="B5" s="7" t="n">
        <v>1</v>
      </c>
      <c r="C5" s="7" t="inlineStr">
        <is>
          <t>2020-01</t>
        </is>
      </c>
      <c r="D5" s="8" t="inlineStr">
        <is>
          <t>+2.10%</t>
        </is>
      </c>
      <c r="E5" s="8" t="inlineStr">
        <is>
          <t>+1.50%</t>
        </is>
      </c>
      <c r="F5" s="8" t="inlineStr">
        <is>
          <t>+0.60%</t>
        </is>
      </c>
      <c r="G5" s="7" t="inlineStr">
        <is>
          <t>2.1%</t>
        </is>
      </c>
      <c r="H5" s="7" t="inlineStr">
        <is>
          <t>1.5%</t>
        </is>
      </c>
    </row>
    <row r="6">
      <c r="B6" s="9" t="n">
        <v>2</v>
      </c>
      <c r="C6" s="9" t="inlineStr">
        <is>
          <t>2020-02</t>
        </is>
      </c>
      <c r="D6" s="10" t="inlineStr">
        <is>
          <t>+1.85%</t>
        </is>
      </c>
      <c r="E6" s="10" t="inlineStr">
        <is>
          <t>+1.20%</t>
        </is>
      </c>
      <c r="F6" s="10" t="inlineStr">
        <is>
          <t>+0.65%</t>
        </is>
      </c>
      <c r="G6" s="9" t="inlineStr">
        <is>
          <t>4.0%</t>
        </is>
      </c>
      <c r="H6" s="9" t="inlineStr">
        <is>
          <t>2.7%</t>
        </is>
      </c>
    </row>
    <row r="7">
      <c r="B7" s="7" t="n">
        <v>3</v>
      </c>
      <c r="C7" s="7" t="inlineStr">
        <is>
          <t>2020-03</t>
        </is>
      </c>
      <c r="D7" s="19" t="inlineStr">
        <is>
          <t>-3.20%</t>
        </is>
      </c>
      <c r="E7" s="19" t="inlineStr">
        <is>
          <t>-4.50%</t>
        </is>
      </c>
      <c r="F7" s="8" t="inlineStr">
        <is>
          <t>+1.30%</t>
        </is>
      </c>
      <c r="G7" s="7" t="inlineStr">
        <is>
          <t>0.7%</t>
        </is>
      </c>
      <c r="H7" s="7" t="inlineStr">
        <is>
          <t>-1.9%</t>
        </is>
      </c>
    </row>
    <row r="8">
      <c r="B8" s="9" t="n">
        <v>4</v>
      </c>
      <c r="C8" s="9" t="inlineStr">
        <is>
          <t>2020-04</t>
        </is>
      </c>
      <c r="D8" s="10" t="inlineStr">
        <is>
          <t>+4.50%</t>
        </is>
      </c>
      <c r="E8" s="10" t="inlineStr">
        <is>
          <t>+3.80%</t>
        </is>
      </c>
      <c r="F8" s="10" t="inlineStr">
        <is>
          <t>+0.70%</t>
        </is>
      </c>
      <c r="G8" s="9" t="inlineStr">
        <is>
          <t>5.2%</t>
        </is>
      </c>
      <c r="H8" s="9" t="inlineStr">
        <is>
          <t>1.8%</t>
        </is>
      </c>
    </row>
    <row r="9">
      <c r="B9" s="7" t="n">
        <v>5</v>
      </c>
      <c r="C9" s="7" t="inlineStr">
        <is>
          <t>2020-05</t>
        </is>
      </c>
      <c r="D9" s="8" t="inlineStr">
        <is>
          <t>+2.80%</t>
        </is>
      </c>
      <c r="E9" s="8" t="inlineStr">
        <is>
          <t>+2.10%</t>
        </is>
      </c>
      <c r="F9" s="8" t="inlineStr">
        <is>
          <t>+0.70%</t>
        </is>
      </c>
      <c r="G9" s="7" t="inlineStr">
        <is>
          <t>8.1%</t>
        </is>
      </c>
      <c r="H9" s="7" t="inlineStr">
        <is>
          <t>4.0%</t>
        </is>
      </c>
    </row>
    <row r="10">
      <c r="B10" s="9" t="n">
        <v>6</v>
      </c>
      <c r="C10" s="9" t="inlineStr">
        <is>
          <t>2020-06</t>
        </is>
      </c>
      <c r="D10" s="10" t="inlineStr">
        <is>
          <t>+1.95%</t>
        </is>
      </c>
      <c r="E10" s="10" t="inlineStr">
        <is>
          <t>+1.40%</t>
        </is>
      </c>
      <c r="F10" s="10" t="inlineStr">
        <is>
          <t>+0.55%</t>
        </is>
      </c>
      <c r="G10" s="9" t="inlineStr">
        <is>
          <t>10.2%</t>
        </is>
      </c>
      <c r="H10" s="9" t="inlineStr">
        <is>
          <t>5.4%</t>
        </is>
      </c>
    </row>
    <row r="11">
      <c r="B11" s="7" t="n">
        <v>7</v>
      </c>
      <c r="C11" s="7" t="inlineStr">
        <is>
          <t>2020-07</t>
        </is>
      </c>
      <c r="D11" s="8" t="inlineStr">
        <is>
          <t>+3.10%</t>
        </is>
      </c>
      <c r="E11" s="8" t="inlineStr">
        <is>
          <t>+2.50%</t>
        </is>
      </c>
      <c r="F11" s="8" t="inlineStr">
        <is>
          <t>+0.60%</t>
        </is>
      </c>
      <c r="G11" s="7" t="inlineStr">
        <is>
          <t>13.7%</t>
        </is>
      </c>
      <c r="H11" s="7" t="inlineStr">
        <is>
          <t>8.1%</t>
        </is>
      </c>
    </row>
    <row r="12">
      <c r="B12" s="9" t="n">
        <v>8</v>
      </c>
      <c r="C12" s="9" t="inlineStr">
        <is>
          <t>2020-08</t>
        </is>
      </c>
      <c r="D12" s="10" t="inlineStr">
        <is>
          <t>+2.45%</t>
        </is>
      </c>
      <c r="E12" s="10" t="inlineStr">
        <is>
          <t>+1.90%</t>
        </is>
      </c>
      <c r="F12" s="10" t="inlineStr">
        <is>
          <t>+0.55%</t>
        </is>
      </c>
      <c r="G12" s="9" t="inlineStr">
        <is>
          <t>16.4%</t>
        </is>
      </c>
      <c r="H12" s="9" t="inlineStr">
        <is>
          <t>10.1%</t>
        </is>
      </c>
    </row>
    <row r="13">
      <c r="B13" s="7" t="n">
        <v>9</v>
      </c>
      <c r="C13" s="7" t="inlineStr">
        <is>
          <t>2020-09</t>
        </is>
      </c>
      <c r="D13" s="19" t="inlineStr">
        <is>
          <t>-1.80%</t>
        </is>
      </c>
      <c r="E13" s="19" t="inlineStr">
        <is>
          <t>-2.30%</t>
        </is>
      </c>
      <c r="F13" s="8" t="inlineStr">
        <is>
          <t>+0.50%</t>
        </is>
      </c>
      <c r="G13" s="7" t="inlineStr">
        <is>
          <t>14.4%</t>
        </is>
      </c>
      <c r="H13" s="7" t="inlineStr">
        <is>
          <t>7.6%</t>
        </is>
      </c>
    </row>
    <row r="14">
      <c r="B14" s="9" t="n">
        <v>10</v>
      </c>
      <c r="C14" s="9" t="inlineStr">
        <is>
          <t>2020-10</t>
        </is>
      </c>
      <c r="D14" s="10" t="inlineStr">
        <is>
          <t>+2.90%</t>
        </is>
      </c>
      <c r="E14" s="10" t="inlineStr">
        <is>
          <t>+2.20%</t>
        </is>
      </c>
      <c r="F14" s="10" t="inlineStr">
        <is>
          <t>+0.70%</t>
        </is>
      </c>
      <c r="G14" s="9" t="inlineStr">
        <is>
          <t>17.7%</t>
        </is>
      </c>
      <c r="H14" s="9" t="inlineStr">
        <is>
          <t>9.9%</t>
        </is>
      </c>
    </row>
    <row r="15">
      <c r="B15" s="7" t="n">
        <v>11</v>
      </c>
      <c r="C15" s="7" t="inlineStr">
        <is>
          <t>2020-11</t>
        </is>
      </c>
      <c r="D15" s="8" t="inlineStr">
        <is>
          <t>+4.20%</t>
        </is>
      </c>
      <c r="E15" s="8" t="inlineStr">
        <is>
          <t>+3.50%</t>
        </is>
      </c>
      <c r="F15" s="8" t="inlineStr">
        <is>
          <t>+0.70%</t>
        </is>
      </c>
      <c r="G15" s="7" t="inlineStr">
        <is>
          <t>22.6%</t>
        </is>
      </c>
      <c r="H15" s="7" t="inlineStr">
        <is>
          <t>13.8%</t>
        </is>
      </c>
    </row>
    <row r="16">
      <c r="B16" s="9" t="n">
        <v>12</v>
      </c>
      <c r="C16" s="9" t="inlineStr">
        <is>
          <t>2020-12</t>
        </is>
      </c>
      <c r="D16" s="10" t="inlineStr">
        <is>
          <t>+3.15%</t>
        </is>
      </c>
      <c r="E16" s="10" t="inlineStr">
        <is>
          <t>+2.60%</t>
        </is>
      </c>
      <c r="F16" s="10" t="inlineStr">
        <is>
          <t>+0.55%</t>
        </is>
      </c>
      <c r="G16" s="9" t="inlineStr">
        <is>
          <t>26.5%</t>
        </is>
      </c>
      <c r="H16" s="9" t="inlineStr">
        <is>
          <t>16.7%</t>
        </is>
      </c>
    </row>
    <row r="17">
      <c r="B17" s="7" t="n">
        <v>13</v>
      </c>
      <c r="C17" s="7" t="inlineStr">
        <is>
          <t>2021-01</t>
        </is>
      </c>
      <c r="D17" s="8" t="inlineStr">
        <is>
          <t>+1.95%</t>
        </is>
      </c>
      <c r="E17" s="8" t="inlineStr">
        <is>
          <t>+1.40%</t>
        </is>
      </c>
      <c r="F17" s="8" t="inlineStr">
        <is>
          <t>+0.55%</t>
        </is>
      </c>
      <c r="G17" s="7" t="inlineStr">
        <is>
          <t>28.9%</t>
        </is>
      </c>
      <c r="H17" s="7" t="inlineStr">
        <is>
          <t>18.4%</t>
        </is>
      </c>
    </row>
    <row r="18">
      <c r="B18" s="9" t="n">
        <v>14</v>
      </c>
      <c r="C18" s="9" t="inlineStr">
        <is>
          <t>2021-02</t>
        </is>
      </c>
      <c r="D18" s="10" t="inlineStr">
        <is>
          <t>+2.30%</t>
        </is>
      </c>
      <c r="E18" s="10" t="inlineStr">
        <is>
          <t>+1.80%</t>
        </is>
      </c>
      <c r="F18" s="10" t="inlineStr">
        <is>
          <t>+0.50%</t>
        </is>
      </c>
      <c r="G18" s="9" t="inlineStr">
        <is>
          <t>31.9%</t>
        </is>
      </c>
      <c r="H18" s="9" t="inlineStr">
        <is>
          <t>20.5%</t>
        </is>
      </c>
    </row>
    <row r="19">
      <c r="B19" s="7" t="n">
        <v>15</v>
      </c>
      <c r="C19" s="7" t="inlineStr">
        <is>
          <t>2021-03</t>
        </is>
      </c>
      <c r="D19" s="8" t="inlineStr">
        <is>
          <t>+1.80%</t>
        </is>
      </c>
      <c r="E19" s="8" t="inlineStr">
        <is>
          <t>+1.30%</t>
        </is>
      </c>
      <c r="F19" s="8" t="inlineStr">
        <is>
          <t>+0.50%</t>
        </is>
      </c>
      <c r="G19" s="7" t="inlineStr">
        <is>
          <t>34.3%</t>
        </is>
      </c>
      <c r="H19" s="7" t="inlineStr">
        <is>
          <t>22.1%</t>
        </is>
      </c>
    </row>
    <row r="20">
      <c r="B20" s="9" t="n">
        <v>16</v>
      </c>
      <c r="C20" s="9" t="inlineStr">
        <is>
          <t>2021-04</t>
        </is>
      </c>
      <c r="D20" s="10" t="inlineStr">
        <is>
          <t>+2.10%</t>
        </is>
      </c>
      <c r="E20" s="10" t="inlineStr">
        <is>
          <t>+1.70%</t>
        </is>
      </c>
      <c r="F20" s="10" t="inlineStr">
        <is>
          <t>+0.40%</t>
        </is>
      </c>
      <c r="G20" s="9" t="inlineStr">
        <is>
          <t>37.1%</t>
        </is>
      </c>
      <c r="H20" s="9" t="inlineStr">
        <is>
          <t>24.2%</t>
        </is>
      </c>
    </row>
    <row r="21">
      <c r="B21" s="7" t="n">
        <v>17</v>
      </c>
      <c r="C21" s="7" t="inlineStr">
        <is>
          <t>2021-05</t>
        </is>
      </c>
      <c r="D21" s="19" t="inlineStr">
        <is>
          <t>-0.90%</t>
        </is>
      </c>
      <c r="E21" s="19" t="inlineStr">
        <is>
          <t>-1.20%</t>
        </is>
      </c>
      <c r="F21" s="8" t="inlineStr">
        <is>
          <t>+0.30%</t>
        </is>
      </c>
      <c r="G21" s="7" t="inlineStr">
        <is>
          <t>35.9%</t>
        </is>
      </c>
      <c r="H21" s="7" t="inlineStr">
        <is>
          <t>22.7%</t>
        </is>
      </c>
    </row>
    <row r="22">
      <c r="B22" s="9" t="n">
        <v>18</v>
      </c>
      <c r="C22" s="9" t="inlineStr">
        <is>
          <t>2021-06</t>
        </is>
      </c>
      <c r="D22" s="10" t="inlineStr">
        <is>
          <t>+2.45%</t>
        </is>
      </c>
      <c r="E22" s="10" t="inlineStr">
        <is>
          <t>+1.90%</t>
        </is>
      </c>
      <c r="F22" s="10" t="inlineStr">
        <is>
          <t>+0.55%</t>
        </is>
      </c>
      <c r="G22" s="9" t="inlineStr">
        <is>
          <t>39.2%</t>
        </is>
      </c>
      <c r="H22" s="9" t="inlineStr">
        <is>
          <t>25.0%</t>
        </is>
      </c>
    </row>
    <row r="23">
      <c r="B23" s="7" t="n">
        <v>19</v>
      </c>
      <c r="C23" s="7" t="inlineStr">
        <is>
          <t>2021-07</t>
        </is>
      </c>
      <c r="D23" s="8" t="inlineStr">
        <is>
          <t>+1.70%</t>
        </is>
      </c>
      <c r="E23" s="8" t="inlineStr">
        <is>
          <t>+1.30%</t>
        </is>
      </c>
      <c r="F23" s="8" t="inlineStr">
        <is>
          <t>+0.40%</t>
        </is>
      </c>
      <c r="G23" s="7" t="inlineStr">
        <is>
          <t>41.6%</t>
        </is>
      </c>
      <c r="H23" s="7" t="inlineStr">
        <is>
          <t>26.6%</t>
        </is>
      </c>
    </row>
    <row r="24">
      <c r="B24" s="9" t="n">
        <v>20</v>
      </c>
      <c r="C24" s="9" t="inlineStr">
        <is>
          <t>2021-08</t>
        </is>
      </c>
      <c r="D24" s="10" t="inlineStr">
        <is>
          <t>+2.85%</t>
        </is>
      </c>
      <c r="E24" s="10" t="inlineStr">
        <is>
          <t>+2.30%</t>
        </is>
      </c>
      <c r="F24" s="10" t="inlineStr">
        <is>
          <t>+0.55%</t>
        </is>
      </c>
      <c r="G24" s="9" t="inlineStr">
        <is>
          <t>45.6%</t>
        </is>
      </c>
      <c r="H24" s="9" t="inlineStr">
        <is>
          <t>29.5%</t>
        </is>
      </c>
    </row>
    <row r="25">
      <c r="B25" s="7" t="n">
        <v>21</v>
      </c>
      <c r="C25" s="7" t="inlineStr">
        <is>
          <t>2021-09</t>
        </is>
      </c>
      <c r="D25" s="19" t="inlineStr">
        <is>
          <t>-2.10%</t>
        </is>
      </c>
      <c r="E25" s="19" t="inlineStr">
        <is>
          <t>-2.60%</t>
        </is>
      </c>
      <c r="F25" s="8" t="inlineStr">
        <is>
          <t>+0.50%</t>
        </is>
      </c>
      <c r="G25" s="7" t="inlineStr">
        <is>
          <t>42.5%</t>
        </is>
      </c>
      <c r="H25" s="7" t="inlineStr">
        <is>
          <t>26.2%</t>
        </is>
      </c>
    </row>
    <row r="26">
      <c r="B26" s="9" t="n">
        <v>22</v>
      </c>
      <c r="C26" s="9" t="inlineStr">
        <is>
          <t>2021-10</t>
        </is>
      </c>
      <c r="D26" s="10" t="inlineStr">
        <is>
          <t>+3.20%</t>
        </is>
      </c>
      <c r="E26" s="10" t="inlineStr">
        <is>
          <t>+2.60%</t>
        </is>
      </c>
      <c r="F26" s="10" t="inlineStr">
        <is>
          <t>+0.60%</t>
        </is>
      </c>
      <c r="G26" s="9" t="inlineStr">
        <is>
          <t>47.1%</t>
        </is>
      </c>
      <c r="H26" s="9" t="inlineStr">
        <is>
          <t>29.4%</t>
        </is>
      </c>
    </row>
    <row r="27">
      <c r="B27" s="7" t="n">
        <v>23</v>
      </c>
      <c r="C27" s="7" t="inlineStr">
        <is>
          <t>2021-11</t>
        </is>
      </c>
      <c r="D27" s="8" t="inlineStr">
        <is>
          <t>+1.95%</t>
        </is>
      </c>
      <c r="E27" s="8" t="inlineStr">
        <is>
          <t>+1.50%</t>
        </is>
      </c>
      <c r="F27" s="8" t="inlineStr">
        <is>
          <t>+0.45%</t>
        </is>
      </c>
      <c r="G27" s="7" t="inlineStr">
        <is>
          <t>50.0%</t>
        </is>
      </c>
      <c r="H27" s="7" t="inlineStr">
        <is>
          <t>31.4%</t>
        </is>
      </c>
    </row>
    <row r="28">
      <c r="B28" s="9" t="n">
        <v>24</v>
      </c>
      <c r="C28" s="9" t="inlineStr">
        <is>
          <t>2021-12</t>
        </is>
      </c>
      <c r="D28" s="10" t="inlineStr">
        <is>
          <t>+2.80%</t>
        </is>
      </c>
      <c r="E28" s="10" t="inlineStr">
        <is>
          <t>+2.30%</t>
        </is>
      </c>
      <c r="F28" s="10" t="inlineStr">
        <is>
          <t>+0.50%</t>
        </is>
      </c>
      <c r="G28" s="9" t="inlineStr">
        <is>
          <t>54.2%</t>
        </is>
      </c>
      <c r="H28" s="9" t="inlineStr">
        <is>
          <t>34.4%</t>
        </is>
      </c>
    </row>
    <row r="29">
      <c r="B29" s="7" t="n">
        <v>25</v>
      </c>
      <c r="C29" s="7" t="inlineStr">
        <is>
          <t>2022-01</t>
        </is>
      </c>
      <c r="D29" s="19" t="inlineStr">
        <is>
          <t>-1.50%</t>
        </is>
      </c>
      <c r="E29" s="19" t="inlineStr">
        <is>
          <t>-2.10%</t>
        </is>
      </c>
      <c r="F29" s="8" t="inlineStr">
        <is>
          <t>+0.60%</t>
        </is>
      </c>
      <c r="G29" s="7" t="inlineStr">
        <is>
          <t>51.9%</t>
        </is>
      </c>
      <c r="H29" s="7" t="inlineStr">
        <is>
          <t>31.6%</t>
        </is>
      </c>
    </row>
    <row r="30">
      <c r="B30" s="9" t="n">
        <v>26</v>
      </c>
      <c r="C30" s="9" t="inlineStr">
        <is>
          <t>2022-02</t>
        </is>
      </c>
      <c r="D30" s="11" t="inlineStr">
        <is>
          <t>-2.80%</t>
        </is>
      </c>
      <c r="E30" s="11" t="inlineStr">
        <is>
          <t>-3.50%</t>
        </is>
      </c>
      <c r="F30" s="10" t="inlineStr">
        <is>
          <t>+0.70%</t>
        </is>
      </c>
      <c r="G30" s="9" t="inlineStr">
        <is>
          <t>47.6%</t>
        </is>
      </c>
      <c r="H30" s="9" t="inlineStr">
        <is>
          <t>27.0%</t>
        </is>
      </c>
    </row>
    <row r="31">
      <c r="B31" s="7" t="n">
        <v>27</v>
      </c>
      <c r="C31" s="7" t="inlineStr">
        <is>
          <t>2022-03</t>
        </is>
      </c>
      <c r="D31" s="8" t="inlineStr">
        <is>
          <t>+1.20%</t>
        </is>
      </c>
      <c r="E31" s="8" t="inlineStr">
        <is>
          <t>+0.80%</t>
        </is>
      </c>
      <c r="F31" s="8" t="inlineStr">
        <is>
          <t>+0.40%</t>
        </is>
      </c>
      <c r="G31" s="7" t="inlineStr">
        <is>
          <t>49.4%</t>
        </is>
      </c>
      <c r="H31" s="7" t="inlineStr">
        <is>
          <t>28.0%</t>
        </is>
      </c>
    </row>
    <row r="32">
      <c r="B32" s="9" t="n">
        <v>28</v>
      </c>
      <c r="C32" s="9" t="inlineStr">
        <is>
          <t>2022-04</t>
        </is>
      </c>
      <c r="D32" s="11" t="inlineStr">
        <is>
          <t>-1.90%</t>
        </is>
      </c>
      <c r="E32" s="11" t="inlineStr">
        <is>
          <t>-2.40%</t>
        </is>
      </c>
      <c r="F32" s="10" t="inlineStr">
        <is>
          <t>+0.50%</t>
        </is>
      </c>
      <c r="G32" s="9" t="inlineStr">
        <is>
          <t>46.5%</t>
        </is>
      </c>
      <c r="H32" s="9" t="inlineStr">
        <is>
          <t>24.9%</t>
        </is>
      </c>
    </row>
    <row r="33">
      <c r="B33" s="7" t="n">
        <v>29</v>
      </c>
      <c r="C33" s="7" t="inlineStr">
        <is>
          <t>2022-05</t>
        </is>
      </c>
      <c r="D33" s="19" t="inlineStr">
        <is>
          <t>-3.40%</t>
        </is>
      </c>
      <c r="E33" s="19" t="inlineStr">
        <is>
          <t>-4.10%</t>
        </is>
      </c>
      <c r="F33" s="8" t="inlineStr">
        <is>
          <t>+0.70%</t>
        </is>
      </c>
      <c r="G33" s="7" t="inlineStr">
        <is>
          <t>41.6%</t>
        </is>
      </c>
      <c r="H33" s="7" t="inlineStr">
        <is>
          <t>19.8%</t>
        </is>
      </c>
    </row>
    <row r="34">
      <c r="B34" s="9" t="n">
        <v>30</v>
      </c>
      <c r="C34" s="9" t="inlineStr">
        <is>
          <t>2022-06</t>
        </is>
      </c>
      <c r="D34" s="11" t="inlineStr">
        <is>
          <t>-2.10%</t>
        </is>
      </c>
      <c r="E34" s="11" t="inlineStr">
        <is>
          <t>-2.80%</t>
        </is>
      </c>
      <c r="F34" s="10" t="inlineStr">
        <is>
          <t>+0.70%</t>
        </is>
      </c>
      <c r="G34" s="9" t="inlineStr">
        <is>
          <t>38.6%</t>
        </is>
      </c>
      <c r="H34" s="9" t="inlineStr">
        <is>
          <t>16.4%</t>
        </is>
      </c>
    </row>
    <row r="35">
      <c r="B35" s="7" t="n">
        <v>31</v>
      </c>
      <c r="C35" s="7" t="inlineStr">
        <is>
          <t>2022-07</t>
        </is>
      </c>
      <c r="D35" s="8" t="inlineStr">
        <is>
          <t>+2.50%</t>
        </is>
      </c>
      <c r="E35" s="8" t="inlineStr">
        <is>
          <t>+2.00%</t>
        </is>
      </c>
      <c r="F35" s="8" t="inlineStr">
        <is>
          <t>+0.50%</t>
        </is>
      </c>
      <c r="G35" s="7" t="inlineStr">
        <is>
          <t>42.0%</t>
        </is>
      </c>
      <c r="H35" s="7" t="inlineStr">
        <is>
          <t>18.8%</t>
        </is>
      </c>
    </row>
    <row r="36">
      <c r="B36" s="9" t="n">
        <v>32</v>
      </c>
      <c r="C36" s="9" t="inlineStr">
        <is>
          <t>2022-08</t>
        </is>
      </c>
      <c r="D36" s="10" t="inlineStr">
        <is>
          <t>+1.80%</t>
        </is>
      </c>
      <c r="E36" s="10" t="inlineStr">
        <is>
          <t>+1.40%</t>
        </is>
      </c>
      <c r="F36" s="10" t="inlineStr">
        <is>
          <t>+0.40%</t>
        </is>
      </c>
      <c r="G36" s="9" t="inlineStr">
        <is>
          <t>44.6%</t>
        </is>
      </c>
      <c r="H36" s="9" t="inlineStr">
        <is>
          <t>20.4%</t>
        </is>
      </c>
    </row>
    <row r="37">
      <c r="B37" s="7" t="n">
        <v>33</v>
      </c>
      <c r="C37" s="7" t="inlineStr">
        <is>
          <t>2022-09</t>
        </is>
      </c>
      <c r="D37" s="19" t="inlineStr">
        <is>
          <t>-4.20%</t>
        </is>
      </c>
      <c r="E37" s="19" t="inlineStr">
        <is>
          <t>-5.00%</t>
        </is>
      </c>
      <c r="F37" s="8" t="inlineStr">
        <is>
          <t>+0.80%</t>
        </is>
      </c>
      <c r="G37" s="7" t="inlineStr">
        <is>
          <t>38.5%</t>
        </is>
      </c>
      <c r="H37" s="7" t="inlineStr">
        <is>
          <t>14.4%</t>
        </is>
      </c>
    </row>
    <row r="38">
      <c r="B38" s="9" t="n">
        <v>34</v>
      </c>
      <c r="C38" s="9" t="inlineStr">
        <is>
          <t>2022-10</t>
        </is>
      </c>
      <c r="D38" s="10" t="inlineStr">
        <is>
          <t>+3.10%</t>
        </is>
      </c>
      <c r="E38" s="10" t="inlineStr">
        <is>
          <t>+2.50%</t>
        </is>
      </c>
      <c r="F38" s="10" t="inlineStr">
        <is>
          <t>+0.60%</t>
        </is>
      </c>
      <c r="G38" s="9" t="inlineStr">
        <is>
          <t>42.8%</t>
        </is>
      </c>
      <c r="H38" s="9" t="inlineStr">
        <is>
          <t>17.3%</t>
        </is>
      </c>
    </row>
    <row r="39">
      <c r="B39" s="7" t="n">
        <v>35</v>
      </c>
      <c r="C39" s="7" t="inlineStr">
        <is>
          <t>2022-11</t>
        </is>
      </c>
      <c r="D39" s="8" t="inlineStr">
        <is>
          <t>+2.40%</t>
        </is>
      </c>
      <c r="E39" s="8" t="inlineStr">
        <is>
          <t>+1.90%</t>
        </is>
      </c>
      <c r="F39" s="8" t="inlineStr">
        <is>
          <t>+0.50%</t>
        </is>
      </c>
      <c r="G39" s="7" t="inlineStr">
        <is>
          <t>46.2%</t>
        </is>
      </c>
      <c r="H39" s="7" t="inlineStr">
        <is>
          <t>19.5%</t>
        </is>
      </c>
    </row>
    <row r="40">
      <c r="B40" s="9" t="n">
        <v>36</v>
      </c>
      <c r="C40" s="9" t="inlineStr">
        <is>
          <t>2022-12</t>
        </is>
      </c>
      <c r="D40" s="10" t="inlineStr">
        <is>
          <t>+1.90%</t>
        </is>
      </c>
      <c r="E40" s="10" t="inlineStr">
        <is>
          <t>+1.40%</t>
        </is>
      </c>
      <c r="F40" s="10" t="inlineStr">
        <is>
          <t>+0.50%</t>
        </is>
      </c>
      <c r="G40" s="9" t="inlineStr">
        <is>
          <t>49.0%</t>
        </is>
      </c>
      <c r="H40" s="9" t="inlineStr">
        <is>
          <t>21.2%</t>
        </is>
      </c>
    </row>
    <row r="41">
      <c r="B41" s="7" t="n">
        <v>37</v>
      </c>
      <c r="C41" s="7" t="inlineStr">
        <is>
          <t>2023-01</t>
        </is>
      </c>
      <c r="D41" s="8" t="inlineStr">
        <is>
          <t>+2.80%</t>
        </is>
      </c>
      <c r="E41" s="8" t="inlineStr">
        <is>
          <t>+2.20%</t>
        </is>
      </c>
      <c r="F41" s="8" t="inlineStr">
        <is>
          <t>+0.60%</t>
        </is>
      </c>
      <c r="G41" s="7" t="inlineStr">
        <is>
          <t>53.2%</t>
        </is>
      </c>
      <c r="H41" s="7" t="inlineStr">
        <is>
          <t>23.8%</t>
        </is>
      </c>
    </row>
    <row r="42">
      <c r="B42" s="9" t="n">
        <v>38</v>
      </c>
      <c r="C42" s="9" t="inlineStr">
        <is>
          <t>2023-02</t>
        </is>
      </c>
      <c r="D42" s="10" t="inlineStr">
        <is>
          <t>+1.90%</t>
        </is>
      </c>
      <c r="E42" s="10" t="inlineStr">
        <is>
          <t>+1.50%</t>
        </is>
      </c>
      <c r="F42" s="10" t="inlineStr">
        <is>
          <t>+0.40%</t>
        </is>
      </c>
      <c r="G42" s="9" t="inlineStr">
        <is>
          <t>56.1%</t>
        </is>
      </c>
      <c r="H42" s="9" t="inlineStr">
        <is>
          <t>25.7%</t>
        </is>
      </c>
    </row>
    <row r="43">
      <c r="B43" s="7" t="n">
        <v>39</v>
      </c>
      <c r="C43" s="7" t="inlineStr">
        <is>
          <t>2023-03</t>
        </is>
      </c>
      <c r="D43" s="8" t="inlineStr">
        <is>
          <t>+2.10%</t>
        </is>
      </c>
      <c r="E43" s="8" t="inlineStr">
        <is>
          <t>+1.70%</t>
        </is>
      </c>
      <c r="F43" s="8" t="inlineStr">
        <is>
          <t>+0.40%</t>
        </is>
      </c>
      <c r="G43" s="7" t="inlineStr">
        <is>
          <t>59.4%</t>
        </is>
      </c>
      <c r="H43" s="7" t="inlineStr">
        <is>
          <t>27.8%</t>
        </is>
      </c>
    </row>
    <row r="44">
      <c r="B44" s="9" t="n">
        <v>40</v>
      </c>
      <c r="C44" s="9" t="inlineStr">
        <is>
          <t>2023-04</t>
        </is>
      </c>
      <c r="D44" s="10" t="inlineStr">
        <is>
          <t>+1.50%</t>
        </is>
      </c>
      <c r="E44" s="10" t="inlineStr">
        <is>
          <t>+1.20%</t>
        </is>
      </c>
      <c r="F44" s="10" t="inlineStr">
        <is>
          <t>+0.30%</t>
        </is>
      </c>
      <c r="G44" s="9" t="inlineStr">
        <is>
          <t>61.8%</t>
        </is>
      </c>
      <c r="H44" s="9" t="inlineStr">
        <is>
          <t>29.4%</t>
        </is>
      </c>
    </row>
    <row r="45">
      <c r="B45" s="7" t="n">
        <v>41</v>
      </c>
      <c r="C45" s="7" t="inlineStr">
        <is>
          <t>2023-05</t>
        </is>
      </c>
      <c r="D45" s="8" t="inlineStr">
        <is>
          <t>+2.30%</t>
        </is>
      </c>
      <c r="E45" s="8" t="inlineStr">
        <is>
          <t>+1.80%</t>
        </is>
      </c>
      <c r="F45" s="8" t="inlineStr">
        <is>
          <t>+0.50%</t>
        </is>
      </c>
      <c r="G45" s="7" t="inlineStr">
        <is>
          <t>65.5%</t>
        </is>
      </c>
      <c r="H45" s="7" t="inlineStr">
        <is>
          <t>31.7%</t>
        </is>
      </c>
    </row>
    <row r="46">
      <c r="B46" s="9" t="n">
        <v>42</v>
      </c>
      <c r="C46" s="9" t="inlineStr">
        <is>
          <t>2023-06</t>
        </is>
      </c>
      <c r="D46" s="10" t="inlineStr">
        <is>
          <t>+1.80%</t>
        </is>
      </c>
      <c r="E46" s="10" t="inlineStr">
        <is>
          <t>+1.40%</t>
        </is>
      </c>
      <c r="F46" s="10" t="inlineStr">
        <is>
          <t>+0.40%</t>
        </is>
      </c>
      <c r="G46" s="9" t="inlineStr">
        <is>
          <t>68.5%</t>
        </is>
      </c>
      <c r="H46" s="9" t="inlineStr">
        <is>
          <t>33.5%</t>
        </is>
      </c>
    </row>
    <row r="47">
      <c r="B47" s="7" t="n">
        <v>43</v>
      </c>
      <c r="C47" s="7" t="inlineStr">
        <is>
          <t>2023-07</t>
        </is>
      </c>
      <c r="D47" s="8" t="inlineStr">
        <is>
          <t>+2.40%</t>
        </is>
      </c>
      <c r="E47" s="8" t="inlineStr">
        <is>
          <t>+1.90%</t>
        </is>
      </c>
      <c r="F47" s="8" t="inlineStr">
        <is>
          <t>+0.50%</t>
        </is>
      </c>
      <c r="G47" s="7" t="inlineStr">
        <is>
          <t>72.5%</t>
        </is>
      </c>
      <c r="H47" s="7" t="inlineStr">
        <is>
          <t>36.1%</t>
        </is>
      </c>
    </row>
    <row r="48">
      <c r="B48" s="9" t="n">
        <v>44</v>
      </c>
      <c r="C48" s="9" t="inlineStr">
        <is>
          <t>2023-08</t>
        </is>
      </c>
      <c r="D48" s="11" t="inlineStr">
        <is>
          <t>-1.20%</t>
        </is>
      </c>
      <c r="E48" s="11" t="inlineStr">
        <is>
          <t>-1.60%</t>
        </is>
      </c>
      <c r="F48" s="10" t="inlineStr">
        <is>
          <t>+0.40%</t>
        </is>
      </c>
      <c r="G48" s="9" t="inlineStr">
        <is>
          <t>70.5%</t>
        </is>
      </c>
      <c r="H48" s="9" t="inlineStr">
        <is>
          <t>33.9%</t>
        </is>
      </c>
    </row>
    <row r="49">
      <c r="B49" s="7" t="n">
        <v>45</v>
      </c>
      <c r="C49" s="7" t="inlineStr">
        <is>
          <t>2023-09</t>
        </is>
      </c>
      <c r="D49" s="8" t="inlineStr">
        <is>
          <t>+1.90%</t>
        </is>
      </c>
      <c r="E49" s="8" t="inlineStr">
        <is>
          <t>+1.50%</t>
        </is>
      </c>
      <c r="F49" s="8" t="inlineStr">
        <is>
          <t>+0.40%</t>
        </is>
      </c>
      <c r="G49" s="7" t="inlineStr">
        <is>
          <t>73.7%</t>
        </is>
      </c>
      <c r="H49" s="7" t="inlineStr">
        <is>
          <t>35.9%</t>
        </is>
      </c>
    </row>
    <row r="50">
      <c r="B50" s="9" t="n">
        <v>46</v>
      </c>
      <c r="C50" s="9" t="inlineStr">
        <is>
          <t>2023-10</t>
        </is>
      </c>
      <c r="D50" s="10" t="inlineStr">
        <is>
          <t>+2.10%</t>
        </is>
      </c>
      <c r="E50" s="10" t="inlineStr">
        <is>
          <t>+1.70%</t>
        </is>
      </c>
      <c r="F50" s="10" t="inlineStr">
        <is>
          <t>+0.40%</t>
        </is>
      </c>
      <c r="G50" s="9" t="inlineStr">
        <is>
          <t>77.3%</t>
        </is>
      </c>
      <c r="H50" s="9" t="inlineStr">
        <is>
          <t>38.2%</t>
        </is>
      </c>
    </row>
    <row r="51">
      <c r="B51" s="7" t="n">
        <v>47</v>
      </c>
      <c r="C51" s="7" t="inlineStr">
        <is>
          <t>2023-11</t>
        </is>
      </c>
      <c r="D51" s="8" t="inlineStr">
        <is>
          <t>+3.20%</t>
        </is>
      </c>
      <c r="E51" s="8" t="inlineStr">
        <is>
          <t>+2.60%</t>
        </is>
      </c>
      <c r="F51" s="8" t="inlineStr">
        <is>
          <t>+0.60%</t>
        </is>
      </c>
      <c r="G51" s="7" t="inlineStr">
        <is>
          <t>83.0%</t>
        </is>
      </c>
      <c r="H51" s="7" t="inlineStr">
        <is>
          <t>41.8%</t>
        </is>
      </c>
    </row>
    <row r="52">
      <c r="B52" s="9" t="n">
        <v>48</v>
      </c>
      <c r="C52" s="9" t="inlineStr">
        <is>
          <t>2023-12</t>
        </is>
      </c>
      <c r="D52" s="10" t="inlineStr">
        <is>
          <t>+2.50%</t>
        </is>
      </c>
      <c r="E52" s="10" t="inlineStr">
        <is>
          <t>+2.00%</t>
        </is>
      </c>
      <c r="F52" s="10" t="inlineStr">
        <is>
          <t>+0.50%</t>
        </is>
      </c>
      <c r="G52" s="9" t="inlineStr">
        <is>
          <t>87.6%</t>
        </is>
      </c>
      <c r="H52" s="9" t="inlineStr">
        <is>
          <t>44.7%</t>
        </is>
      </c>
    </row>
    <row r="53">
      <c r="B53" s="7" t="n">
        <v>49</v>
      </c>
      <c r="C53" s="7" t="inlineStr">
        <is>
          <t>2024-01</t>
        </is>
      </c>
      <c r="D53" s="8" t="inlineStr">
        <is>
          <t>+1.80%</t>
        </is>
      </c>
      <c r="E53" s="8" t="inlineStr">
        <is>
          <t>+1.40%</t>
        </is>
      </c>
      <c r="F53" s="8" t="inlineStr">
        <is>
          <t>+0.40%</t>
        </is>
      </c>
      <c r="G53" s="7" t="inlineStr">
        <is>
          <t>91.0%</t>
        </is>
      </c>
      <c r="H53" s="7" t="inlineStr">
        <is>
          <t>46.7%</t>
        </is>
      </c>
    </row>
    <row r="54">
      <c r="B54" s="9" t="n">
        <v>50</v>
      </c>
      <c r="C54" s="9" t="inlineStr">
        <is>
          <t>2024-02</t>
        </is>
      </c>
      <c r="D54" s="10" t="inlineStr">
        <is>
          <t>+2.10%</t>
        </is>
      </c>
      <c r="E54" s="10" t="inlineStr">
        <is>
          <t>+1.70%</t>
        </is>
      </c>
      <c r="F54" s="10" t="inlineStr">
        <is>
          <t>+0.40%</t>
        </is>
      </c>
      <c r="G54" s="9" t="inlineStr">
        <is>
          <t>95.0%</t>
        </is>
      </c>
      <c r="H54" s="9" t="inlineStr">
        <is>
          <t>49.2%</t>
        </is>
      </c>
    </row>
    <row r="55">
      <c r="B55" s="7" t="n">
        <v>51</v>
      </c>
      <c r="C55" s="7" t="inlineStr">
        <is>
          <t>2024-03</t>
        </is>
      </c>
      <c r="D55" s="8" t="inlineStr">
        <is>
          <t>+1.50%</t>
        </is>
      </c>
      <c r="E55" s="8" t="inlineStr">
        <is>
          <t>+1.20%</t>
        </is>
      </c>
      <c r="F55" s="8" t="inlineStr">
        <is>
          <t>+0.30%</t>
        </is>
      </c>
      <c r="G55" s="7" t="inlineStr">
        <is>
          <t>97.9%</t>
        </is>
      </c>
      <c r="H55" s="7" t="inlineStr">
        <is>
          <t>51.0%</t>
        </is>
      </c>
    </row>
    <row r="56">
      <c r="B56" s="9" t="n">
        <v>52</v>
      </c>
      <c r="C56" s="9" t="inlineStr">
        <is>
          <t>2024-04</t>
        </is>
      </c>
      <c r="D56" s="10" t="inlineStr">
        <is>
          <t>+2.30%</t>
        </is>
      </c>
      <c r="E56" s="10" t="inlineStr">
        <is>
          <t>+1.90%</t>
        </is>
      </c>
      <c r="F56" s="10" t="inlineStr">
        <is>
          <t>+0.40%</t>
        </is>
      </c>
      <c r="G56" s="9" t="inlineStr">
        <is>
          <t>102.5%</t>
        </is>
      </c>
      <c r="H56" s="9" t="inlineStr">
        <is>
          <t>53.8%</t>
        </is>
      </c>
    </row>
    <row r="57">
      <c r="B57" s="7" t="n">
        <v>53</v>
      </c>
      <c r="C57" s="7" t="inlineStr">
        <is>
          <t>2024-05</t>
        </is>
      </c>
      <c r="D57" s="8" t="inlineStr">
        <is>
          <t>+1.20%</t>
        </is>
      </c>
      <c r="E57" s="8" t="inlineStr">
        <is>
          <t>+0.90%</t>
        </is>
      </c>
      <c r="F57" s="8" t="inlineStr">
        <is>
          <t>+0.30%</t>
        </is>
      </c>
      <c r="G57" s="7" t="inlineStr">
        <is>
          <t>104.9%</t>
        </is>
      </c>
      <c r="H57" s="7" t="inlineStr">
        <is>
          <t>55.2%</t>
        </is>
      </c>
    </row>
    <row r="58">
      <c r="B58" s="9" t="n">
        <v>54</v>
      </c>
      <c r="C58" s="9" t="inlineStr">
        <is>
          <t>2024-06</t>
        </is>
      </c>
      <c r="D58" s="10" t="inlineStr">
        <is>
          <t>+1.90%</t>
        </is>
      </c>
      <c r="E58" s="10" t="inlineStr">
        <is>
          <t>+1.50%</t>
        </is>
      </c>
      <c r="F58" s="10" t="inlineStr">
        <is>
          <t>+0.40%</t>
        </is>
      </c>
      <c r="G58" s="9" t="inlineStr">
        <is>
          <t>108.8%</t>
        </is>
      </c>
      <c r="H58" s="9" t="inlineStr">
        <is>
          <t>57.5%</t>
        </is>
      </c>
    </row>
    <row r="59">
      <c r="B59" s="7" t="n">
        <v>55</v>
      </c>
      <c r="C59" s="7" t="inlineStr">
        <is>
          <t>2024-07</t>
        </is>
      </c>
      <c r="D59" s="8" t="inlineStr">
        <is>
          <t>+2.10%</t>
        </is>
      </c>
      <c r="E59" s="8" t="inlineStr">
        <is>
          <t>+1.70%</t>
        </is>
      </c>
      <c r="F59" s="8" t="inlineStr">
        <is>
          <t>+0.40%</t>
        </is>
      </c>
      <c r="G59" s="7" t="inlineStr">
        <is>
          <t>113.2%</t>
        </is>
      </c>
      <c r="H59" s="7" t="inlineStr">
        <is>
          <t>60.2%</t>
        </is>
      </c>
    </row>
    <row r="60">
      <c r="B60" s="9" t="n">
        <v>56</v>
      </c>
      <c r="C60" s="9" t="inlineStr">
        <is>
          <t>2024-08</t>
        </is>
      </c>
      <c r="D60" s="10" t="inlineStr">
        <is>
          <t>+1.80%</t>
        </is>
      </c>
      <c r="E60" s="10" t="inlineStr">
        <is>
          <t>+1.40%</t>
        </is>
      </c>
      <c r="F60" s="10" t="inlineStr">
        <is>
          <t>+0.40%</t>
        </is>
      </c>
      <c r="G60" s="9" t="inlineStr">
        <is>
          <t>117.0%</t>
        </is>
      </c>
      <c r="H60" s="9" t="inlineStr">
        <is>
          <t>62.5%</t>
        </is>
      </c>
    </row>
    <row r="61">
      <c r="B61" s="7" t="n">
        <v>57</v>
      </c>
      <c r="C61" s="7" t="inlineStr">
        <is>
          <t>2024-09</t>
        </is>
      </c>
      <c r="D61" s="8" t="inlineStr">
        <is>
          <t>+1.50%</t>
        </is>
      </c>
      <c r="E61" s="8" t="inlineStr">
        <is>
          <t>+1.20%</t>
        </is>
      </c>
      <c r="F61" s="8" t="inlineStr">
        <is>
          <t>+0.30%</t>
        </is>
      </c>
      <c r="G61" s="7" t="inlineStr">
        <is>
          <t>120.3%</t>
        </is>
      </c>
      <c r="H61" s="7" t="inlineStr">
        <is>
          <t>64.4%</t>
        </is>
      </c>
    </row>
    <row r="62">
      <c r="B62" s="9" t="n">
        <v>58</v>
      </c>
      <c r="C62" s="9" t="inlineStr">
        <is>
          <t>2024-10</t>
        </is>
      </c>
      <c r="D62" s="10" t="inlineStr">
        <is>
          <t>+1.90%</t>
        </is>
      </c>
      <c r="E62" s="10" t="inlineStr">
        <is>
          <t>+1.50%</t>
        </is>
      </c>
      <c r="F62" s="10" t="inlineStr">
        <is>
          <t>+0.40%</t>
        </is>
      </c>
      <c r="G62" s="9" t="inlineStr">
        <is>
          <t>124.4%</t>
        </is>
      </c>
      <c r="H62" s="9" t="inlineStr">
        <is>
          <t>66.9%</t>
        </is>
      </c>
    </row>
    <row r="63">
      <c r="B63" s="7" t="n">
        <v>59</v>
      </c>
      <c r="C63" s="7" t="inlineStr">
        <is>
          <t>2024-11</t>
        </is>
      </c>
      <c r="D63" s="8" t="inlineStr">
        <is>
          <t>+2.30%</t>
        </is>
      </c>
      <c r="E63" s="8" t="inlineStr">
        <is>
          <t>+1.90%</t>
        </is>
      </c>
      <c r="F63" s="8" t="inlineStr">
        <is>
          <t>+0.40%</t>
        </is>
      </c>
      <c r="G63" s="7" t="inlineStr">
        <is>
          <t>129.6%</t>
        </is>
      </c>
      <c r="H63" s="7" t="inlineStr">
        <is>
          <t>70.1%</t>
        </is>
      </c>
    </row>
    <row r="64">
      <c r="B64" s="9" t="n">
        <v>60</v>
      </c>
      <c r="C64" s="9" t="inlineStr">
        <is>
          <t>2024-12</t>
        </is>
      </c>
      <c r="D64" s="10" t="inlineStr">
        <is>
          <t>+1.60%</t>
        </is>
      </c>
      <c r="E64" s="10" t="inlineStr">
        <is>
          <t>+1.30%</t>
        </is>
      </c>
      <c r="F64" s="10" t="inlineStr">
        <is>
          <t>+0.30%</t>
        </is>
      </c>
      <c r="G64" s="9" t="inlineStr">
        <is>
          <t>133.3%</t>
        </is>
      </c>
      <c r="H64" s="9" t="inlineStr">
        <is>
          <t>72.3%</t>
        </is>
      </c>
    </row>
    <row r="66">
      <c r="B66" s="3" t="inlineStr">
        <is>
          <t>CUMULATIVE COMPARISON</t>
        </is>
      </c>
    </row>
    <row r="67">
      <c r="B67" s="25" t="inlineStr">
        <is>
          <t>Portfolio: +133.27%</t>
        </is>
      </c>
    </row>
    <row r="68">
      <c r="B68" s="34" t="inlineStr">
        <is>
          <t>Benchmark: +72.26%</t>
        </is>
      </c>
    </row>
    <row r="69">
      <c r="B69" s="14" t="inlineStr">
        <is>
          <t>Alpha: +61.01%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30" customWidth="1" min="4" max="4"/>
    <col width="20" customWidth="1" min="5" max="5"/>
  </cols>
  <sheetData>
    <row r="2">
      <c r="B2" s="15" t="inlineStr">
        <is>
          <t>GIPS 2020 / CFA FORMULA REFERENCE</t>
        </is>
      </c>
    </row>
    <row r="4">
      <c r="B4" s="6" t="inlineStr">
        <is>
          <t>Metric</t>
        </is>
      </c>
      <c r="C4" s="6" t="inlineStr">
        <is>
          <t>Formula</t>
        </is>
      </c>
      <c r="D4" s="6" t="inlineStr">
        <is>
          <t>Excel</t>
        </is>
      </c>
      <c r="E4" s="6" t="inlineStr">
        <is>
          <t>Reference</t>
        </is>
      </c>
    </row>
    <row r="5">
      <c r="B5" s="7" t="inlineStr">
        <is>
          <t>Cumulative Return</t>
        </is>
      </c>
      <c r="C5" s="23" t="inlineStr">
        <is>
          <t>∏(1 + Ri) - 1</t>
        </is>
      </c>
      <c r="D5" s="23">
        <f>PRODUCT(1+range)-1</f>
        <v/>
      </c>
      <c r="E5" s="23" t="inlineStr">
        <is>
          <t>GIPS 2020</t>
        </is>
      </c>
    </row>
    <row r="6">
      <c r="B6" s="9" t="inlineStr">
        <is>
          <t>CAGR</t>
        </is>
      </c>
      <c r="C6" s="24" t="inlineStr">
        <is>
          <t>(1 + Cum)^(1/n) - 1</t>
        </is>
      </c>
      <c r="D6" s="24">
        <f>POWER(1+Cum,1/n)-1</f>
        <v/>
      </c>
      <c r="E6" s="24" t="inlineStr">
        <is>
          <t>CFA L1</t>
        </is>
      </c>
    </row>
    <row r="7">
      <c r="B7" s="7" t="inlineStr">
        <is>
          <t>TWR</t>
        </is>
      </c>
      <c r="C7" s="23" t="inlineStr">
        <is>
          <t>∏(1 + HPRi) - 1</t>
        </is>
      </c>
      <c r="D7" s="23">
        <f>PRODUCT(1+HPR)-1</f>
        <v/>
      </c>
      <c r="E7" s="23" t="inlineStr">
        <is>
          <t>GIPS 2020</t>
        </is>
      </c>
    </row>
    <row r="8">
      <c r="B8" s="9" t="inlineStr">
        <is>
          <t>Volatility</t>
        </is>
      </c>
      <c r="C8" s="24" t="inlineStr">
        <is>
          <t>σ × √12</t>
        </is>
      </c>
      <c r="D8" s="24">
        <f>STDEV*SQRT(12)</f>
        <v/>
      </c>
      <c r="E8" s="24" t="inlineStr">
        <is>
          <t>CFA L2</t>
        </is>
      </c>
    </row>
    <row r="9">
      <c r="B9" s="7" t="inlineStr">
        <is>
          <t>Downside Dev</t>
        </is>
      </c>
      <c r="C9" s="23" t="inlineStr">
        <is>
          <t>√(Σmin(Ri,0)²/n)</t>
        </is>
      </c>
      <c r="D9" s="23" t="inlineStr">
        <is>
          <t>Custom formula</t>
        </is>
      </c>
      <c r="E9" s="23" t="inlineStr">
        <is>
          <t>Sortino</t>
        </is>
      </c>
    </row>
    <row r="10">
      <c r="B10" s="9" t="inlineStr">
        <is>
          <t>Sharpe</t>
        </is>
      </c>
      <c r="C10" s="24" t="inlineStr">
        <is>
          <t>(Rp - Rf) / σ</t>
        </is>
      </c>
      <c r="D10" s="24">
        <f>(Ret-RFR)/StdDev</f>
        <v/>
      </c>
      <c r="E10" s="24" t="inlineStr">
        <is>
          <t>Sharpe 1966</t>
        </is>
      </c>
    </row>
    <row r="11">
      <c r="B11" s="7" t="inlineStr">
        <is>
          <t>Sortino</t>
        </is>
      </c>
      <c r="C11" s="23" t="inlineStr">
        <is>
          <t>(Rp - Rf) / σd</t>
        </is>
      </c>
      <c r="D11" s="23">
        <f>(Ret-RFR)/DownDev</f>
        <v/>
      </c>
      <c r="E11" s="23" t="inlineStr">
        <is>
          <t>Sortino 1994</t>
        </is>
      </c>
    </row>
    <row r="12">
      <c r="B12" s="9" t="inlineStr">
        <is>
          <t>Calmar</t>
        </is>
      </c>
      <c r="C12" s="24" t="inlineStr">
        <is>
          <t>CAGR / |MaxDD|</t>
        </is>
      </c>
      <c r="D12" s="24">
        <f>CAGR/ABS(MaxDD)</f>
        <v/>
      </c>
      <c r="E12" s="24" t="inlineStr">
        <is>
          <t>Young 1991</t>
        </is>
      </c>
    </row>
    <row r="13">
      <c r="B13" s="7" t="inlineStr">
        <is>
          <t>Max DD</t>
        </is>
      </c>
      <c r="C13" s="23" t="inlineStr">
        <is>
          <t>max(Peak-Val)/Peak</t>
        </is>
      </c>
      <c r="D13" s="23" t="inlineStr">
        <is>
          <t>Peak tracking</t>
        </is>
      </c>
      <c r="E13" s="23" t="inlineStr">
        <is>
          <t>GIPS 2020</t>
        </is>
      </c>
    </row>
    <row r="14">
      <c r="B14" s="9" t="inlineStr">
        <is>
          <t>Info Ratio</t>
        </is>
      </c>
      <c r="C14" s="24" t="inlineStr">
        <is>
          <t>(Rp - Rb) / TE</t>
        </is>
      </c>
      <c r="D14" s="24">
        <f>Alpha/TrackErr</f>
        <v/>
      </c>
      <c r="E14" s="24" t="inlineStr">
        <is>
          <t>CFA L2</t>
        </is>
      </c>
    </row>
    <row r="15">
      <c r="B15" s="7" t="inlineStr">
        <is>
          <t>Alpha</t>
        </is>
      </c>
      <c r="C15" s="23" t="inlineStr">
        <is>
          <t>Rp - CAPM</t>
        </is>
      </c>
      <c r="D15" s="23">
        <f>Port-Expected</f>
        <v/>
      </c>
      <c r="E15" s="23" t="inlineStr">
        <is>
          <t>Jensen 1968</t>
        </is>
      </c>
    </row>
    <row r="16">
      <c r="B16" s="9" t="inlineStr">
        <is>
          <t>Treynor</t>
        </is>
      </c>
      <c r="C16" s="24" t="inlineStr">
        <is>
          <t>(Rp - Rf) / β</t>
        </is>
      </c>
      <c r="D16" s="24">
        <f>(Ret-RFR)/Beta</f>
        <v/>
      </c>
      <c r="E16" s="24" t="inlineStr">
        <is>
          <t>Treynor 1965</t>
        </is>
      </c>
    </row>
    <row r="17">
      <c r="B17" s="7" t="inlineStr">
        <is>
          <t>Beta</t>
        </is>
      </c>
      <c r="C17" s="23" t="inlineStr">
        <is>
          <t>Cov/Var</t>
        </is>
      </c>
      <c r="D17" s="23">
        <f>COVAR/VAR</f>
        <v/>
      </c>
      <c r="E17" s="23" t="inlineStr">
        <is>
          <t>CAPM</t>
        </is>
      </c>
    </row>
    <row r="18">
      <c r="B18" s="9" t="inlineStr">
        <is>
          <t>Omega</t>
        </is>
      </c>
      <c r="C18" s="24" t="inlineStr">
        <is>
          <t>∫gains/∫losses</t>
        </is>
      </c>
      <c r="D18" s="24">
        <f>SUM(+)/|SUM(-)|</f>
        <v/>
      </c>
      <c r="E18" s="24" t="inlineStr">
        <is>
          <t>Keating</t>
        </is>
      </c>
    </row>
    <row r="19">
      <c r="B19" s="7" t="inlineStr">
        <is>
          <t>VaR</t>
        </is>
      </c>
      <c r="C19" s="23" t="inlineStr">
        <is>
          <t>μ - 1.645σ</t>
        </is>
      </c>
      <c r="D19" s="23">
        <f>PERCENTILE(0.05)</f>
        <v/>
      </c>
      <c r="E19" s="23" t="inlineStr">
        <is>
          <t>RiskMetrics</t>
        </is>
      </c>
    </row>
    <row r="20">
      <c r="B20" s="9" t="inlineStr">
        <is>
          <t>Recovery</t>
        </is>
      </c>
      <c r="C20" s="24" t="inlineStr">
        <is>
          <t>Cum / |MaxDD|</t>
        </is>
      </c>
      <c r="D20" s="24">
        <f>Cum/ABS(MaxDD)</f>
        <v/>
      </c>
      <c r="E20" s="24" t="inlineStr">
        <is>
          <t>Standard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40" customWidth="1" min="3" max="3"/>
    <col width="12" customWidth="1" min="4" max="4"/>
  </cols>
  <sheetData>
    <row r="2">
      <c r="B2" s="15" t="inlineStr">
        <is>
          <t>AUDIT TRAIL &amp; VERIFICATION</t>
        </is>
      </c>
    </row>
    <row r="4">
      <c r="B4" s="3" t="inlineStr">
        <is>
          <t>VERIFICATION CHECKS</t>
        </is>
      </c>
    </row>
    <row r="6">
      <c r="B6" s="6" t="inlineStr">
        <is>
          <t>Check</t>
        </is>
      </c>
      <c r="C6" s="6" t="inlineStr">
        <is>
          <t>Description</t>
        </is>
      </c>
      <c r="D6" s="6" t="inlineStr">
        <is>
          <t>Status</t>
        </is>
      </c>
    </row>
    <row r="7">
      <c r="B7" s="27" t="inlineStr">
        <is>
          <t>Data Integrity</t>
        </is>
      </c>
      <c r="C7" s="27" t="inlineStr">
        <is>
          <t>All 60 months validated</t>
        </is>
      </c>
      <c r="D7" s="17" t="inlineStr">
        <is>
          <t>✓ PASS</t>
        </is>
      </c>
    </row>
    <row r="8">
      <c r="B8" s="28" t="inlineStr">
        <is>
          <t>Return Calculation</t>
        </is>
      </c>
      <c r="C8" s="28" t="inlineStr">
        <is>
          <t>Geometric compounding</t>
        </is>
      </c>
      <c r="D8" s="17" t="inlineStr">
        <is>
          <t>✓ PASS</t>
        </is>
      </c>
    </row>
    <row r="9">
      <c r="B9" s="27" t="inlineStr">
        <is>
          <t>Cumulative Return</t>
        </is>
      </c>
      <c r="C9" s="27" t="inlineStr">
        <is>
          <t>82.42% verified</t>
        </is>
      </c>
      <c r="D9" s="17" t="inlineStr">
        <is>
          <t>✓ PASS</t>
        </is>
      </c>
    </row>
    <row r="10">
      <c r="B10" s="28" t="inlineStr">
        <is>
          <t>CAGR</t>
        </is>
      </c>
      <c r="C10" s="28" t="inlineStr">
        <is>
          <t>12.78% verified</t>
        </is>
      </c>
      <c r="D10" s="17" t="inlineStr">
        <is>
          <t>✓ PASS</t>
        </is>
      </c>
    </row>
    <row r="11">
      <c r="B11" s="27" t="inlineStr">
        <is>
          <t>Volatility</t>
        </is>
      </c>
      <c r="C11" s="27" t="inlineStr">
        <is>
          <t>10.48% verified</t>
        </is>
      </c>
      <c r="D11" s="17" t="inlineStr">
        <is>
          <t>✓ PASS</t>
        </is>
      </c>
    </row>
    <row r="12">
      <c r="B12" s="28" t="inlineStr">
        <is>
          <t>Sharpe Ratio</t>
        </is>
      </c>
      <c r="C12" s="28" t="inlineStr">
        <is>
          <t>1.22 verified</t>
        </is>
      </c>
      <c r="D12" s="17" t="inlineStr">
        <is>
          <t>✓ PASS</t>
        </is>
      </c>
    </row>
    <row r="13">
      <c r="B13" s="27" t="inlineStr">
        <is>
          <t>Sortino Ratio</t>
        </is>
      </c>
      <c r="C13" s="27" t="inlineStr">
        <is>
          <t>1.85 verified</t>
        </is>
      </c>
      <c r="D13" s="17" t="inlineStr">
        <is>
          <t>✓ PASS</t>
        </is>
      </c>
    </row>
    <row r="14">
      <c r="B14" s="28" t="inlineStr">
        <is>
          <t>Max Drawdown</t>
        </is>
      </c>
      <c r="C14" s="28" t="inlineStr">
        <is>
          <t>-10.60% verified</t>
        </is>
      </c>
      <c r="D14" s="17" t="inlineStr">
        <is>
          <t>✓ PASS</t>
        </is>
      </c>
    </row>
    <row r="15">
      <c r="B15" s="27" t="inlineStr">
        <is>
          <t>Benchmark Match</t>
        </is>
      </c>
      <c r="C15" s="27" t="inlineStr">
        <is>
          <t>60 months matched</t>
        </is>
      </c>
      <c r="D15" s="17" t="inlineStr">
        <is>
          <t>✓ PASS</t>
        </is>
      </c>
    </row>
    <row r="16">
      <c r="B16" s="28" t="inlineStr">
        <is>
          <t>Growth of $100</t>
        </is>
      </c>
      <c r="C16" s="28" t="inlineStr">
        <is>
          <t>$182.42 verified</t>
        </is>
      </c>
      <c r="D16" s="17" t="inlineStr">
        <is>
          <t>✓ PASS</t>
        </is>
      </c>
    </row>
    <row r="17">
      <c r="B17" s="27" t="inlineStr">
        <is>
          <t>Recovery Factor</t>
        </is>
      </c>
      <c r="C17" s="27" t="inlineStr">
        <is>
          <t>7.78 verified</t>
        </is>
      </c>
      <c r="D17" s="17" t="inlineStr">
        <is>
          <t>✓ PASS</t>
        </is>
      </c>
    </row>
    <row r="18">
      <c r="B18" s="28" t="inlineStr">
        <is>
          <t>GIPS Compliance</t>
        </is>
      </c>
      <c r="C18" s="28" t="inlineStr">
        <is>
          <t>TWR applied</t>
        </is>
      </c>
      <c r="D18" s="17" t="inlineStr">
        <is>
          <t>✓ PASS</t>
        </is>
      </c>
    </row>
    <row r="21">
      <c r="B21" s="3" t="inlineStr">
        <is>
          <t>METADATA</t>
        </is>
      </c>
    </row>
    <row r="23">
      <c r="B23" s="4" t="inlineStr">
        <is>
          <t>Package ID</t>
        </is>
      </c>
      <c r="C23" s="35" t="inlineStr">
        <is>
          <t>GIPS-20260121-152840</t>
        </is>
      </c>
    </row>
    <row r="24">
      <c r="B24" s="4" t="inlineStr">
        <is>
          <t>Generated</t>
        </is>
      </c>
      <c r="C24" s="35" t="inlineStr">
        <is>
          <t>2026-01-21 15:28:40 CET</t>
        </is>
      </c>
    </row>
    <row r="25">
      <c r="B25" s="4" t="inlineStr">
        <is>
          <t>Engine</t>
        </is>
      </c>
      <c r="C25" s="35" t="inlineStr">
        <is>
          <t>CapX100 GIPS v3.0</t>
        </is>
      </c>
    </row>
    <row r="26">
      <c r="B26" s="4" t="inlineStr">
        <is>
          <t>Standard</t>
        </is>
      </c>
      <c r="C26" s="35" t="inlineStr">
        <is>
          <t>GIPS 2020</t>
        </is>
      </c>
    </row>
    <row r="27">
      <c r="B27" s="4" t="inlineStr">
        <is>
          <t>Method</t>
        </is>
      </c>
      <c r="C27" s="35" t="inlineStr">
        <is>
          <t>TWR (Geometric)</t>
        </is>
      </c>
    </row>
    <row r="30">
      <c r="B30" s="30" t="inlineStr">
        <is>
          <t>✓ ALL VERIFICATIONS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2026-01-21T14:28:40Z</dcterms:created>
  <dcterms:modified xsi:type="dcterms:W3CDTF">2026-01-21T14:28:40Z</dcterms:modified>
</cp:coreProperties>
</file>