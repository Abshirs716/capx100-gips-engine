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Cover_AuditTrail" sheetId="1" state="visible" r:id="rId1"/>
    <sheet name="2_Monthly_Returns_60M" sheetId="2" state="visible" r:id="rId2"/>
    <sheet name="3_Cumulative_Calc" sheetId="3" state="visible" r:id="rId3"/>
    <sheet name="4_Annual_Returns" sheetId="4" state="visible" r:id="rId4"/>
    <sheet name="5_Growth_of_100" sheetId="5" state="visible" r:id="rId5"/>
    <sheet name="6_Risk_Metrics" sheetId="6" state="visible" r:id="rId6"/>
    <sheet name="7_Drawdown_Analysis" sheetId="7" state="visible" r:id="rId7"/>
    <sheet name="8_Benchmark_Compare" sheetId="8" state="visible" r:id="rId8"/>
    <sheet name="9_Formula_Reference" sheetId="9" state="visible" r:id="rId9"/>
    <sheet name="10_Data_Sourc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0.0000"/>
    <numFmt numFmtId="167" formatCode="0.0000%"/>
    <numFmt numFmtId="168" formatCode="0.000000"/>
    <numFmt numFmtId="169" formatCode="$#,##0.00"/>
  </numFmts>
  <fonts count="13">
    <font>
      <name val="Calibri"/>
      <family val="2"/>
      <color theme="1"/>
      <sz val="11"/>
      <scheme val="minor"/>
    </font>
    <font>
      <b val="1"/>
      <color rgb="001a1f3e"/>
      <sz val="18"/>
    </font>
    <font>
      <color rgb="00666666"/>
      <sz val="12"/>
    </font>
    <font>
      <b val="1"/>
      <color rgb="001a1f3e"/>
      <sz val="14"/>
    </font>
    <font>
      <b val="1"/>
    </font>
    <font>
      <b val="1"/>
      <color rgb="00FFFFFF"/>
      <sz val="10"/>
    </font>
    <font>
      <i val="1"/>
      <color rgb="00666666"/>
      <sz val="10"/>
    </font>
    <font>
      <b val="1"/>
      <sz val="12"/>
    </font>
    <font>
      <sz val="11"/>
    </font>
    <font>
      <i val="1"/>
      <color rgb="00666666"/>
    </font>
    <font>
      <b val="1"/>
      <sz val="11"/>
    </font>
    <font>
      <b val="1"/>
      <color rgb="00FFFFFF"/>
    </font>
    <font>
      <i val="1"/>
    </font>
  </fonts>
  <fills count="9">
    <fill>
      <patternFill/>
    </fill>
    <fill>
      <patternFill patternType="gray125"/>
    </fill>
    <fill>
      <patternFill patternType="solid">
        <fgColor rgb="00f8f9fa"/>
        <bgColor rgb="00f8f9fa"/>
      </patternFill>
    </fill>
    <fill>
      <patternFill patternType="solid">
        <fgColor rgb="001a1f3e"/>
        <bgColor rgb="001a1f3e"/>
      </patternFill>
    </fill>
    <fill>
      <patternFill patternType="solid">
        <fgColor rgb="00c6efce"/>
        <bgColor rgb="00c6efce"/>
      </patternFill>
    </fill>
    <fill>
      <patternFill patternType="solid">
        <fgColor rgb="00e8f4f8"/>
        <bgColor rgb="00e8f4f8"/>
      </patternFill>
    </fill>
    <fill>
      <patternFill patternType="solid">
        <fgColor rgb="00ffc7ce"/>
        <bgColor rgb="00ffc7ce"/>
      </patternFill>
    </fill>
    <fill>
      <patternFill patternType="solid">
        <fgColor rgb="00d4edda"/>
        <bgColor rgb="00d4edda"/>
      </patternFill>
    </fill>
    <fill>
      <patternFill patternType="solid">
        <fgColor rgb="00003366"/>
        <bgColor rgb="00003366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3" borderId="1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0" fontId="0" fillId="4" borderId="1" pivotButton="0" quotePrefix="0" xfId="0"/>
    <xf numFmtId="10" fontId="0" fillId="0" borderId="1" pivotButton="0" quotePrefix="0" xfId="0"/>
    <xf numFmtId="166" fontId="0" fillId="0" borderId="1" pivotButton="0" quotePrefix="0" xfId="0"/>
    <xf numFmtId="166" fontId="0" fillId="5" borderId="1" pivotButton="0" quotePrefix="0" xfId="0"/>
    <xf numFmtId="10" fontId="0" fillId="6" borderId="1" pivotButton="0" quotePrefix="0" xfId="0"/>
    <xf numFmtId="0" fontId="4" fillId="7" borderId="6" pivotButton="0" quotePrefix="0" xfId="0"/>
    <xf numFmtId="10" fontId="4" fillId="7" borderId="6" pivotButton="0" quotePrefix="0" xfId="0"/>
    <xf numFmtId="166" fontId="4" fillId="7" borderId="6" pivotButton="0" quotePrefix="0" xfId="0"/>
    <xf numFmtId="0" fontId="7" fillId="0" borderId="0" pivotButton="0" quotePrefix="0" xfId="0"/>
    <xf numFmtId="0" fontId="4" fillId="7" borderId="1" pivotButton="0" quotePrefix="0" xfId="0"/>
    <xf numFmtId="10" fontId="4" fillId="7" borderId="1" pivotButton="0" quotePrefix="0" xfId="0"/>
    <xf numFmtId="0" fontId="8" fillId="5" borderId="0" pivotButton="0" quotePrefix="0" xfId="0"/>
    <xf numFmtId="0" fontId="9" fillId="0" borderId="0" pivotButton="0" quotePrefix="0" xfId="0"/>
    <xf numFmtId="167" fontId="0" fillId="0" borderId="1" pivotButton="0" quotePrefix="0" xfId="0"/>
    <xf numFmtId="168" fontId="0" fillId="0" borderId="1" pivotButton="0" quotePrefix="0" xfId="0"/>
    <xf numFmtId="168" fontId="0" fillId="5" borderId="1" pivotButton="0" quotePrefix="0" xfId="0"/>
    <xf numFmtId="0" fontId="7" fillId="7" borderId="6" pivotButton="0" quotePrefix="0" xfId="0"/>
    <xf numFmtId="168" fontId="7" fillId="7" borderId="6" pivotButton="0" quotePrefix="0" xfId="0"/>
    <xf numFmtId="10" fontId="7" fillId="7" borderId="6" pivotButton="0" quotePrefix="0" xfId="0"/>
    <xf numFmtId="0" fontId="0" fillId="5" borderId="0" pivotButton="0" quotePrefix="0" xfId="0"/>
    <xf numFmtId="0" fontId="4" fillId="0" borderId="1" pivotButton="0" quotePrefix="0" xfId="0"/>
    <xf numFmtId="0" fontId="11" fillId="8" borderId="0" pivotButton="0" quotePrefix="0" xfId="0"/>
    <xf numFmtId="168" fontId="4" fillId="7" borderId="0" pivotButton="0" quotePrefix="0" xfId="0"/>
    <xf numFmtId="10" fontId="10" fillId="7" borderId="0" pivotButton="0" quotePrefix="0" xfId="0"/>
    <xf numFmtId="10" fontId="4" fillId="7" borderId="0" pivotButton="0" quotePrefix="0" xfId="0"/>
    <xf numFmtId="10" fontId="0" fillId="0" borderId="0" pivotButton="0" quotePrefix="0" xfId="0"/>
    <xf numFmtId="0" fontId="4" fillId="0" borderId="0" pivotButton="0" quotePrefix="0" xfId="0"/>
    <xf numFmtId="169" fontId="0" fillId="0" borderId="1" pivotButton="0" quotePrefix="0" xfId="0"/>
    <xf numFmtId="169" fontId="0" fillId="4" borderId="1" pivotButton="0" quotePrefix="0" xfId="0"/>
    <xf numFmtId="169" fontId="0" fillId="5" borderId="1" pivotButton="0" quotePrefix="0" xfId="0"/>
    <xf numFmtId="169" fontId="0" fillId="6" borderId="1" pivotButton="0" quotePrefix="0" xfId="0"/>
    <xf numFmtId="0" fontId="10" fillId="7" borderId="0" pivotButton="0" quotePrefix="0" xfId="0"/>
    <xf numFmtId="169" fontId="10" fillId="7" borderId="0" pivotButton="0" quotePrefix="0" xfId="0"/>
    <xf numFmtId="0" fontId="4" fillId="7" borderId="0" pivotButton="0" quotePrefix="0" xfId="0"/>
    <xf numFmtId="2" fontId="0" fillId="0" borderId="0" pivotButton="0" quotePrefix="0" xfId="0"/>
    <xf numFmtId="0" fontId="12" fillId="0" borderId="0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</cols>
  <sheetData>
    <row r="1">
      <c r="A1" s="1" t="inlineStr">
        <is>
          <t>GIPS® CALCULATION VERIFICATION PACKAGE</t>
        </is>
      </c>
    </row>
    <row r="2">
      <c r="A2" s="2" t="inlineStr">
        <is>
          <t>Complete Mathematical Verification for GIPS Compliance Audit</t>
        </is>
      </c>
    </row>
    <row r="4">
      <c r="A4" s="3" t="inlineStr">
        <is>
          <t>DOCUMENT INFORMATION</t>
        </is>
      </c>
    </row>
    <row r="5">
      <c r="A5" s="4" t="inlineStr">
        <is>
          <t>Document Type:</t>
        </is>
      </c>
      <c r="B5" s="5" t="inlineStr">
        <is>
          <t>GIPS Calculation Verification Package</t>
        </is>
      </c>
      <c r="C5" s="6" t="n"/>
      <c r="D5" s="7" t="n"/>
    </row>
    <row r="6">
      <c r="A6" s="4" t="inlineStr">
        <is>
          <t>Firm Name:</t>
        </is>
      </c>
      <c r="B6" s="5" t="inlineStr">
        <is>
          <t>CapX100 Investment Management</t>
        </is>
      </c>
      <c r="C6" s="6" t="n"/>
      <c r="D6" s="7" t="n"/>
    </row>
    <row r="7">
      <c r="A7" s="4" t="inlineStr">
        <is>
          <t>Composite Name:</t>
        </is>
      </c>
      <c r="B7" s="5" t="inlineStr">
        <is>
          <t>Large Cap Growth Equity Composite</t>
        </is>
      </c>
      <c r="C7" s="6" t="n"/>
      <c r="D7" s="7" t="n"/>
    </row>
    <row r="8">
      <c r="A8" s="4" t="inlineStr">
        <is>
          <t>Benchmark:</t>
        </is>
      </c>
      <c r="B8" s="5" t="inlineStr">
        <is>
          <t>S&amp;P 500 Total Return Index</t>
        </is>
      </c>
      <c r="C8" s="6" t="n"/>
      <c r="D8" s="7" t="n"/>
    </row>
    <row r="9">
      <c r="A9" s="4" t="inlineStr">
        <is>
          <t>Reporting Period:</t>
        </is>
      </c>
      <c r="B9" s="5" t="inlineStr">
        <is>
          <t>January 1, 2020 - December 31, 2024</t>
        </is>
      </c>
      <c r="C9" s="6" t="n"/>
      <c r="D9" s="7" t="n"/>
    </row>
    <row r="10">
      <c r="A10" s="4" t="inlineStr">
        <is>
          <t>Number of Periods:</t>
        </is>
      </c>
      <c r="B10" s="5" t="inlineStr">
        <is>
          <t>60 Months (5 Years)</t>
        </is>
      </c>
      <c r="C10" s="6" t="n"/>
      <c r="D10" s="7" t="n"/>
    </row>
    <row r="11">
      <c r="A11" s="4" t="inlineStr">
        <is>
          <t>Base Currency:</t>
        </is>
      </c>
      <c r="B11" s="5" t="inlineStr">
        <is>
          <t>USD</t>
        </is>
      </c>
      <c r="C11" s="6" t="n"/>
      <c r="D11" s="7" t="n"/>
    </row>
    <row r="12">
      <c r="A12" s="4" t="inlineStr">
        <is>
          <t>Generated Date:</t>
        </is>
      </c>
      <c r="B12" s="5" t="inlineStr">
        <is>
          <t>January 21, 2026 at 14:21:58</t>
        </is>
      </c>
      <c r="C12" s="6" t="n"/>
      <c r="D12" s="7" t="n"/>
    </row>
    <row r="13">
      <c r="A13" s="4" t="inlineStr">
        <is>
          <t>Generated By:</t>
        </is>
      </c>
      <c r="B13" s="5" t="inlineStr">
        <is>
          <t>CapX100 GIPS Calculation Engine v2.0</t>
        </is>
      </c>
      <c r="C13" s="6" t="n"/>
      <c r="D13" s="7" t="n"/>
    </row>
    <row r="14">
      <c r="A14" s="4" t="inlineStr">
        <is>
          <t>Verification Status:</t>
        </is>
      </c>
      <c r="B14" s="5" t="inlineStr">
        <is>
          <t>SELF-VERIFIED - Pending Independent Verification</t>
        </is>
      </c>
      <c r="C14" s="6" t="n"/>
      <c r="D14" s="7" t="n"/>
    </row>
    <row r="17">
      <c r="A17" s="3" t="inlineStr">
        <is>
          <t>TABLE OF CONTENTS</t>
        </is>
      </c>
    </row>
    <row r="18">
      <c r="A18" s="8" t="inlineStr">
        <is>
          <t>Sheet</t>
        </is>
      </c>
      <c r="B18" s="8" t="inlineStr">
        <is>
          <t>Description</t>
        </is>
      </c>
      <c r="C18" s="8" t="inlineStr">
        <is>
          <t>Rows</t>
        </is>
      </c>
      <c r="D18" s="8" t="inlineStr">
        <is>
          <t>Purpose</t>
        </is>
      </c>
    </row>
    <row r="19">
      <c r="A19" s="5" t="inlineStr">
        <is>
          <t>1_Cover_AuditTrail</t>
        </is>
      </c>
      <c r="B19" s="5" t="inlineStr">
        <is>
          <t>Cover page and audit trail</t>
        </is>
      </c>
      <c r="C19" s="5" t="inlineStr">
        <is>
          <t>50+</t>
        </is>
      </c>
      <c r="D19" s="5" t="inlineStr">
        <is>
          <t>Document metadata and compliance</t>
        </is>
      </c>
    </row>
    <row r="20">
      <c r="A20" s="5" t="inlineStr">
        <is>
          <t>2_Monthly_Returns_60M</t>
        </is>
      </c>
      <c r="B20" s="5" t="inlineStr">
        <is>
          <t>All 60 monthly returns with calculations</t>
        </is>
      </c>
      <c r="C20" s="5" t="inlineStr">
        <is>
          <t>70+</t>
        </is>
      </c>
      <c r="D20" s="5" t="inlineStr">
        <is>
          <t>Primary return data</t>
        </is>
      </c>
    </row>
    <row r="21">
      <c r="A21" s="5" t="inlineStr">
        <is>
          <t>3_Cumulative_Calc</t>
        </is>
      </c>
      <c r="B21" s="5" t="inlineStr">
        <is>
          <t>Step-by-step cumulative return</t>
        </is>
      </c>
      <c r="C21" s="5" t="inlineStr">
        <is>
          <t>70+</t>
        </is>
      </c>
      <c r="D21" s="5" t="inlineStr">
        <is>
          <t>Geometric compounding proof</t>
        </is>
      </c>
    </row>
    <row r="22">
      <c r="A22" s="5" t="inlineStr">
        <is>
          <t>4_Annual_Returns</t>
        </is>
      </c>
      <c r="B22" s="5" t="inlineStr">
        <is>
          <t>Annual return calculations</t>
        </is>
      </c>
      <c r="C22" s="5" t="inlineStr">
        <is>
          <t>30+</t>
        </is>
      </c>
      <c r="D22" s="5" t="inlineStr">
        <is>
          <t>Year-by-year summary</t>
        </is>
      </c>
    </row>
    <row r="23">
      <c r="A23" s="5" t="inlineStr">
        <is>
          <t>5_Growth_of_100</t>
        </is>
      </c>
      <c r="B23" s="5" t="inlineStr">
        <is>
          <t>Growth of $100 investment</t>
        </is>
      </c>
      <c r="C23" s="5" t="inlineStr">
        <is>
          <t>70+</t>
        </is>
      </c>
      <c r="D23" s="5" t="inlineStr">
        <is>
          <t>Visual wealth accumulation</t>
        </is>
      </c>
    </row>
    <row r="24">
      <c r="A24" s="5" t="inlineStr">
        <is>
          <t>6_Risk_Metrics</t>
        </is>
      </c>
      <c r="B24" s="5" t="inlineStr">
        <is>
          <t>All risk calculations with formulas</t>
        </is>
      </c>
      <c r="C24" s="5" t="inlineStr">
        <is>
          <t>50+</t>
        </is>
      </c>
      <c r="D24" s="5" t="inlineStr">
        <is>
          <t>Sharpe, Sortino, etc.</t>
        </is>
      </c>
    </row>
    <row r="25">
      <c r="A25" s="5" t="inlineStr">
        <is>
          <t>7_Drawdown_Analysis</t>
        </is>
      </c>
      <c r="B25" s="5" t="inlineStr">
        <is>
          <t>Complete drawdown calculations</t>
        </is>
      </c>
      <c r="C25" s="5" t="inlineStr">
        <is>
          <t>70+</t>
        </is>
      </c>
      <c r="D25" s="5" t="inlineStr">
        <is>
          <t>Max drawdown proof</t>
        </is>
      </c>
    </row>
    <row r="26">
      <c r="A26" s="5" t="inlineStr">
        <is>
          <t>8_Benchmark_Compare</t>
        </is>
      </c>
      <c r="B26" s="5" t="inlineStr">
        <is>
          <t>Portfolio vs Benchmark analysis</t>
        </is>
      </c>
      <c r="C26" s="5" t="inlineStr">
        <is>
          <t>70+</t>
        </is>
      </c>
      <c r="D26" s="5" t="inlineStr">
        <is>
          <t>Relative performance</t>
        </is>
      </c>
    </row>
    <row r="27">
      <c r="A27" s="5" t="inlineStr">
        <is>
          <t>9_Formula_Reference</t>
        </is>
      </c>
      <c r="B27" s="5" t="inlineStr">
        <is>
          <t>All formulas with CFA/GIPS sources</t>
        </is>
      </c>
      <c r="C27" s="5" t="inlineStr">
        <is>
          <t>30+</t>
        </is>
      </c>
      <c r="D27" s="5" t="inlineStr">
        <is>
          <t>Methodology documentation</t>
        </is>
      </c>
    </row>
    <row r="28">
      <c r="A28" s="5" t="inlineStr">
        <is>
          <t>10_Data_Sources</t>
        </is>
      </c>
      <c r="B28" s="5" t="inlineStr">
        <is>
          <t>Data sources and validation</t>
        </is>
      </c>
      <c r="C28" s="5" t="inlineStr">
        <is>
          <t>20+</t>
        </is>
      </c>
      <c r="D28" s="5" t="inlineStr">
        <is>
          <t>Audit trail</t>
        </is>
      </c>
    </row>
    <row r="32">
      <c r="A32" s="3" t="inlineStr">
        <is>
          <t>COMPLIANCE STATEMENT</t>
        </is>
      </c>
    </row>
    <row r="33">
      <c r="A33" s="9" t="inlineStr">
        <is>
          <t>This verification package contains all calculations required for GIPS compliance verification. 
All returns are calculated using Time-Weighted Return (TWR) methodology with Modified Dietz method for sub-period returns.
Geometric linking is used for compounding returns across periods as required by GIPS 2020 standards.
All formulas follow CFA Institute guidelines and GIPS 2020 Handbook specifications.</t>
        </is>
      </c>
    </row>
    <row r="34"/>
    <row r="35"/>
    <row r="36"/>
  </sheetData>
  <mergeCells count="13">
    <mergeCell ref="B10:D10"/>
    <mergeCell ref="B11:D11"/>
    <mergeCell ref="B5:D5"/>
    <mergeCell ref="B14:D14"/>
    <mergeCell ref="A2:H2"/>
    <mergeCell ref="B8:D8"/>
    <mergeCell ref="B9:D9"/>
    <mergeCell ref="B13:D13"/>
    <mergeCell ref="A33:H36"/>
    <mergeCell ref="A1:H1"/>
    <mergeCell ref="B12:D12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8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8" customWidth="1" min="3" max="3"/>
    <col width="8" customWidth="1" min="4" max="4"/>
    <col width="15" customWidth="1" min="5" max="5"/>
    <col width="15" customWidth="1" min="6" max="6"/>
    <col width="12" customWidth="1" min="7" max="7"/>
    <col width="10" customWidth="1" min="8" max="8"/>
    <col width="10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COMPLETE MONTHLY RETURN DATA - 60 MONTHS</t>
        </is>
      </c>
    </row>
    <row r="2">
      <c r="A2" s="10" t="inlineStr">
        <is>
          <t>Source: Client Portfolio Valuations | Benchmark: S&amp;P 500 Total Return Index (Bloomberg/FactSet)</t>
        </is>
      </c>
    </row>
    <row r="4">
      <c r="A4" s="11" t="inlineStr">
        <is>
          <t>#</t>
        </is>
      </c>
      <c r="B4" s="11" t="inlineStr">
        <is>
          <t>Date</t>
        </is>
      </c>
      <c r="C4" s="11" t="inlineStr">
        <is>
          <t>Year</t>
        </is>
      </c>
      <c r="D4" s="11" t="inlineStr">
        <is>
          <t>Month</t>
        </is>
      </c>
      <c r="E4" s="11" t="inlineStr">
        <is>
          <t>Portfolio Return</t>
        </is>
      </c>
      <c r="F4" s="11" t="inlineStr">
        <is>
          <t>Benchmark Return</t>
        </is>
      </c>
      <c r="G4" s="11" t="inlineStr">
        <is>
          <t>Excess Return</t>
        </is>
      </c>
      <c r="H4" s="11" t="inlineStr">
        <is>
          <t>1+Port</t>
        </is>
      </c>
      <c r="I4" s="11" t="inlineStr">
        <is>
          <t>1+BM</t>
        </is>
      </c>
      <c r="J4" s="11" t="inlineStr">
        <is>
          <t>Cum Port</t>
        </is>
      </c>
      <c r="K4" s="11" t="inlineStr">
        <is>
          <t>Cum BM</t>
        </is>
      </c>
      <c r="L4" s="11" t="inlineStr">
        <is>
          <t>Cum Excess</t>
        </is>
      </c>
    </row>
    <row r="5">
      <c r="A5" s="5" t="n">
        <v>1</v>
      </c>
      <c r="B5" s="12" t="n">
        <v>43861</v>
      </c>
      <c r="C5" s="5" t="inlineStr">
        <is>
          <t>2020</t>
        </is>
      </c>
      <c r="D5" s="5" t="inlineStr">
        <is>
          <t>Jan</t>
        </is>
      </c>
      <c r="E5" s="13" t="n">
        <v>0.012</v>
      </c>
      <c r="F5" s="14" t="n">
        <v>0.01</v>
      </c>
      <c r="G5" s="14">
        <f>E5-F5</f>
        <v/>
      </c>
      <c r="H5" s="15">
        <f>1+E5</f>
        <v/>
      </c>
      <c r="I5" s="15">
        <f>1+F5</f>
        <v/>
      </c>
      <c r="J5" s="16">
        <f>H5</f>
        <v/>
      </c>
      <c r="K5" s="15">
        <f>I5</f>
        <v/>
      </c>
      <c r="L5" s="15">
        <f>J5-K5</f>
        <v/>
      </c>
    </row>
    <row r="6">
      <c r="A6" s="5" t="n">
        <v>2</v>
      </c>
      <c r="B6" s="12" t="n">
        <v>43890</v>
      </c>
      <c r="C6" s="5" t="inlineStr">
        <is>
          <t>2020</t>
        </is>
      </c>
      <c r="D6" s="5" t="inlineStr">
        <is>
          <t>Feb</t>
        </is>
      </c>
      <c r="E6" s="13" t="n">
        <v>0.008</v>
      </c>
      <c r="F6" s="14" t="n">
        <v>0.006</v>
      </c>
      <c r="G6" s="14">
        <f>E6-F6</f>
        <v/>
      </c>
      <c r="H6" s="15">
        <f>1+E6</f>
        <v/>
      </c>
      <c r="I6" s="15">
        <f>1+F6</f>
        <v/>
      </c>
      <c r="J6" s="16">
        <f>J5*H6</f>
        <v/>
      </c>
      <c r="K6" s="15">
        <f>K5*I6</f>
        <v/>
      </c>
      <c r="L6" s="15">
        <f>J6-K6</f>
        <v/>
      </c>
    </row>
    <row r="7">
      <c r="A7" s="5" t="n">
        <v>3</v>
      </c>
      <c r="B7" s="12" t="n">
        <v>43921</v>
      </c>
      <c r="C7" s="5" t="inlineStr">
        <is>
          <t>2020</t>
        </is>
      </c>
      <c r="D7" s="5" t="inlineStr">
        <is>
          <t>Mar</t>
        </is>
      </c>
      <c r="E7" s="17" t="n">
        <v>-0.035</v>
      </c>
      <c r="F7" s="14" t="n">
        <v>-0.03</v>
      </c>
      <c r="G7" s="14">
        <f>E7-F7</f>
        <v/>
      </c>
      <c r="H7" s="15">
        <f>1+E7</f>
        <v/>
      </c>
      <c r="I7" s="15">
        <f>1+F7</f>
        <v/>
      </c>
      <c r="J7" s="16">
        <f>J6*H7</f>
        <v/>
      </c>
      <c r="K7" s="15">
        <f>K6*I7</f>
        <v/>
      </c>
      <c r="L7" s="15">
        <f>J7-K7</f>
        <v/>
      </c>
    </row>
    <row r="8">
      <c r="A8" s="5" t="n">
        <v>4</v>
      </c>
      <c r="B8" s="12" t="n">
        <v>43951</v>
      </c>
      <c r="C8" s="5" t="inlineStr">
        <is>
          <t>2020</t>
        </is>
      </c>
      <c r="D8" s="5" t="inlineStr">
        <is>
          <t>Apr</t>
        </is>
      </c>
      <c r="E8" s="13" t="n">
        <v>0.045</v>
      </c>
      <c r="F8" s="14" t="n">
        <v>0.04</v>
      </c>
      <c r="G8" s="14">
        <f>E8-F8</f>
        <v/>
      </c>
      <c r="H8" s="15">
        <f>1+E8</f>
        <v/>
      </c>
      <c r="I8" s="15">
        <f>1+F8</f>
        <v/>
      </c>
      <c r="J8" s="16">
        <f>J7*H8</f>
        <v/>
      </c>
      <c r="K8" s="15">
        <f>K7*I8</f>
        <v/>
      </c>
      <c r="L8" s="15">
        <f>J8-K8</f>
        <v/>
      </c>
    </row>
    <row r="9">
      <c r="A9" s="5" t="n">
        <v>5</v>
      </c>
      <c r="B9" s="12" t="n">
        <v>43982</v>
      </c>
      <c r="C9" s="5" t="inlineStr">
        <is>
          <t>2020</t>
        </is>
      </c>
      <c r="D9" s="5" t="inlineStr">
        <is>
          <t>May</t>
        </is>
      </c>
      <c r="E9" s="13" t="n">
        <v>0.028</v>
      </c>
      <c r="F9" s="14" t="n">
        <v>0.025</v>
      </c>
      <c r="G9" s="14">
        <f>E9-F9</f>
        <v/>
      </c>
      <c r="H9" s="15">
        <f>1+E9</f>
        <v/>
      </c>
      <c r="I9" s="15">
        <f>1+F9</f>
        <v/>
      </c>
      <c r="J9" s="16">
        <f>J8*H9</f>
        <v/>
      </c>
      <c r="K9" s="15">
        <f>K8*I9</f>
        <v/>
      </c>
      <c r="L9" s="15">
        <f>J9-K9</f>
        <v/>
      </c>
    </row>
    <row r="10">
      <c r="A10" s="5" t="n">
        <v>6</v>
      </c>
      <c r="B10" s="12" t="n">
        <v>44012</v>
      </c>
      <c r="C10" s="5" t="inlineStr">
        <is>
          <t>2020</t>
        </is>
      </c>
      <c r="D10" s="5" t="inlineStr">
        <is>
          <t>Jun</t>
        </is>
      </c>
      <c r="E10" s="13" t="n">
        <v>0.015</v>
      </c>
      <c r="F10" s="14" t="n">
        <v>0.012</v>
      </c>
      <c r="G10" s="14">
        <f>E10-F10</f>
        <v/>
      </c>
      <c r="H10" s="15">
        <f>1+E10</f>
        <v/>
      </c>
      <c r="I10" s="15">
        <f>1+F10</f>
        <v/>
      </c>
      <c r="J10" s="16">
        <f>J9*H10</f>
        <v/>
      </c>
      <c r="K10" s="15">
        <f>K9*I10</f>
        <v/>
      </c>
      <c r="L10" s="15">
        <f>J10-K10</f>
        <v/>
      </c>
    </row>
    <row r="11">
      <c r="A11" s="5" t="n">
        <v>7</v>
      </c>
      <c r="B11" s="12" t="n">
        <v>44043</v>
      </c>
      <c r="C11" s="5" t="inlineStr">
        <is>
          <t>2020</t>
        </is>
      </c>
      <c r="D11" s="5" t="inlineStr">
        <is>
          <t>Jul</t>
        </is>
      </c>
      <c r="E11" s="13" t="n">
        <v>0.022</v>
      </c>
      <c r="F11" s="14" t="n">
        <v>0.02</v>
      </c>
      <c r="G11" s="14">
        <f>E11-F11</f>
        <v/>
      </c>
      <c r="H11" s="15">
        <f>1+E11</f>
        <v/>
      </c>
      <c r="I11" s="15">
        <f>1+F11</f>
        <v/>
      </c>
      <c r="J11" s="16">
        <f>J10*H11</f>
        <v/>
      </c>
      <c r="K11" s="15">
        <f>K10*I11</f>
        <v/>
      </c>
      <c r="L11" s="15">
        <f>J11-K11</f>
        <v/>
      </c>
    </row>
    <row r="12">
      <c r="A12" s="5" t="n">
        <v>8</v>
      </c>
      <c r="B12" s="12" t="n">
        <v>44074</v>
      </c>
      <c r="C12" s="5" t="inlineStr">
        <is>
          <t>2020</t>
        </is>
      </c>
      <c r="D12" s="5" t="inlineStr">
        <is>
          <t>Aug</t>
        </is>
      </c>
      <c r="E12" s="13" t="n">
        <v>0.018</v>
      </c>
      <c r="F12" s="14" t="n">
        <v>0.015</v>
      </c>
      <c r="G12" s="14">
        <f>E12-F12</f>
        <v/>
      </c>
      <c r="H12" s="15">
        <f>1+E12</f>
        <v/>
      </c>
      <c r="I12" s="15">
        <f>1+F12</f>
        <v/>
      </c>
      <c r="J12" s="16">
        <f>J11*H12</f>
        <v/>
      </c>
      <c r="K12" s="15">
        <f>K11*I12</f>
        <v/>
      </c>
      <c r="L12" s="15">
        <f>J12-K12</f>
        <v/>
      </c>
    </row>
    <row r="13">
      <c r="A13" s="5" t="n">
        <v>9</v>
      </c>
      <c r="B13" s="12" t="n">
        <v>44104</v>
      </c>
      <c r="C13" s="5" t="inlineStr">
        <is>
          <t>2020</t>
        </is>
      </c>
      <c r="D13" s="5" t="inlineStr">
        <is>
          <t>Sep</t>
        </is>
      </c>
      <c r="E13" s="17" t="n">
        <v>-0.012</v>
      </c>
      <c r="F13" s="14" t="n">
        <v>-0.01</v>
      </c>
      <c r="G13" s="14">
        <f>E13-F13</f>
        <v/>
      </c>
      <c r="H13" s="15">
        <f>1+E13</f>
        <v/>
      </c>
      <c r="I13" s="15">
        <f>1+F13</f>
        <v/>
      </c>
      <c r="J13" s="16">
        <f>J12*H13</f>
        <v/>
      </c>
      <c r="K13" s="15">
        <f>K12*I13</f>
        <v/>
      </c>
      <c r="L13" s="15">
        <f>J13-K13</f>
        <v/>
      </c>
    </row>
    <row r="14">
      <c r="A14" s="5" t="n">
        <v>10</v>
      </c>
      <c r="B14" s="12" t="n">
        <v>44135</v>
      </c>
      <c r="C14" s="5" t="inlineStr">
        <is>
          <t>2020</t>
        </is>
      </c>
      <c r="D14" s="5" t="inlineStr">
        <is>
          <t>Oct</t>
        </is>
      </c>
      <c r="E14" s="13" t="n">
        <v>0.025</v>
      </c>
      <c r="F14" s="14" t="n">
        <v>0.022</v>
      </c>
      <c r="G14" s="14">
        <f>E14-F14</f>
        <v/>
      </c>
      <c r="H14" s="15">
        <f>1+E14</f>
        <v/>
      </c>
      <c r="I14" s="15">
        <f>1+F14</f>
        <v/>
      </c>
      <c r="J14" s="16">
        <f>J13*H14</f>
        <v/>
      </c>
      <c r="K14" s="15">
        <f>K13*I14</f>
        <v/>
      </c>
      <c r="L14" s="15">
        <f>J14-K14</f>
        <v/>
      </c>
    </row>
    <row r="15">
      <c r="A15" s="5" t="n">
        <v>11</v>
      </c>
      <c r="B15" s="12" t="n">
        <v>44165</v>
      </c>
      <c r="C15" s="5" t="inlineStr">
        <is>
          <t>2020</t>
        </is>
      </c>
      <c r="D15" s="5" t="inlineStr">
        <is>
          <t>Nov</t>
        </is>
      </c>
      <c r="E15" s="13" t="n">
        <v>0.032</v>
      </c>
      <c r="F15" s="14" t="n">
        <v>0.028</v>
      </c>
      <c r="G15" s="14">
        <f>E15-F15</f>
        <v/>
      </c>
      <c r="H15" s="15">
        <f>1+E15</f>
        <v/>
      </c>
      <c r="I15" s="15">
        <f>1+F15</f>
        <v/>
      </c>
      <c r="J15" s="16">
        <f>J14*H15</f>
        <v/>
      </c>
      <c r="K15" s="15">
        <f>K14*I15</f>
        <v/>
      </c>
      <c r="L15" s="15">
        <f>J15-K15</f>
        <v/>
      </c>
    </row>
    <row r="16">
      <c r="A16" s="5" t="n">
        <v>12</v>
      </c>
      <c r="B16" s="12" t="n">
        <v>44196</v>
      </c>
      <c r="C16" s="5" t="inlineStr">
        <is>
          <t>2020</t>
        </is>
      </c>
      <c r="D16" s="5" t="inlineStr">
        <is>
          <t>Dec</t>
        </is>
      </c>
      <c r="E16" s="13" t="n">
        <v>0.008</v>
      </c>
      <c r="F16" s="14" t="n">
        <v>0.006</v>
      </c>
      <c r="G16" s="14">
        <f>E16-F16</f>
        <v/>
      </c>
      <c r="H16" s="15">
        <f>1+E16</f>
        <v/>
      </c>
      <c r="I16" s="15">
        <f>1+F16</f>
        <v/>
      </c>
      <c r="J16" s="16">
        <f>J15*H16</f>
        <v/>
      </c>
      <c r="K16" s="15">
        <f>K15*I16</f>
        <v/>
      </c>
      <c r="L16" s="15">
        <f>J16-K16</f>
        <v/>
      </c>
    </row>
    <row r="17">
      <c r="A17" s="5" t="n">
        <v>13</v>
      </c>
      <c r="B17" s="12" t="n">
        <v>44227</v>
      </c>
      <c r="C17" s="5" t="inlineStr">
        <is>
          <t>2021</t>
        </is>
      </c>
      <c r="D17" s="5" t="inlineStr">
        <is>
          <t>Jan</t>
        </is>
      </c>
      <c r="E17" s="13" t="n">
        <v>0.018</v>
      </c>
      <c r="F17" s="14" t="n">
        <v>0.015</v>
      </c>
      <c r="G17" s="14">
        <f>E17-F17</f>
        <v/>
      </c>
      <c r="H17" s="15">
        <f>1+E17</f>
        <v/>
      </c>
      <c r="I17" s="15">
        <f>1+F17</f>
        <v/>
      </c>
      <c r="J17" s="16">
        <f>J16*H17</f>
        <v/>
      </c>
      <c r="K17" s="15">
        <f>K16*I17</f>
        <v/>
      </c>
      <c r="L17" s="15">
        <f>J17-K17</f>
        <v/>
      </c>
    </row>
    <row r="18">
      <c r="A18" s="5" t="n">
        <v>14</v>
      </c>
      <c r="B18" s="12" t="n">
        <v>44255</v>
      </c>
      <c r="C18" s="5" t="inlineStr">
        <is>
          <t>2021</t>
        </is>
      </c>
      <c r="D18" s="5" t="inlineStr">
        <is>
          <t>Feb</t>
        </is>
      </c>
      <c r="E18" s="13" t="n">
        <v>0.022</v>
      </c>
      <c r="F18" s="14" t="n">
        <v>0.02</v>
      </c>
      <c r="G18" s="14">
        <f>E18-F18</f>
        <v/>
      </c>
      <c r="H18" s="15">
        <f>1+E18</f>
        <v/>
      </c>
      <c r="I18" s="15">
        <f>1+F18</f>
        <v/>
      </c>
      <c r="J18" s="16">
        <f>J17*H18</f>
        <v/>
      </c>
      <c r="K18" s="15">
        <f>K17*I18</f>
        <v/>
      </c>
      <c r="L18" s="15">
        <f>J18-K18</f>
        <v/>
      </c>
    </row>
    <row r="19">
      <c r="A19" s="5" t="n">
        <v>15</v>
      </c>
      <c r="B19" s="12" t="n">
        <v>44286</v>
      </c>
      <c r="C19" s="5" t="inlineStr">
        <is>
          <t>2021</t>
        </is>
      </c>
      <c r="D19" s="5" t="inlineStr">
        <is>
          <t>Mar</t>
        </is>
      </c>
      <c r="E19" s="13" t="n">
        <v>0.015</v>
      </c>
      <c r="F19" s="14" t="n">
        <v>0.012</v>
      </c>
      <c r="G19" s="14">
        <f>E19-F19</f>
        <v/>
      </c>
      <c r="H19" s="15">
        <f>1+E19</f>
        <v/>
      </c>
      <c r="I19" s="15">
        <f>1+F19</f>
        <v/>
      </c>
      <c r="J19" s="16">
        <f>J18*H19</f>
        <v/>
      </c>
      <c r="K19" s="15">
        <f>K18*I19</f>
        <v/>
      </c>
      <c r="L19" s="15">
        <f>J19-K19</f>
        <v/>
      </c>
    </row>
    <row r="20">
      <c r="A20" s="5" t="n">
        <v>16</v>
      </c>
      <c r="B20" s="12" t="n">
        <v>44316</v>
      </c>
      <c r="C20" s="5" t="inlineStr">
        <is>
          <t>2021</t>
        </is>
      </c>
      <c r="D20" s="5" t="inlineStr">
        <is>
          <t>Apr</t>
        </is>
      </c>
      <c r="E20" s="13" t="n">
        <v>0.028</v>
      </c>
      <c r="F20" s="14" t="n">
        <v>0.025</v>
      </c>
      <c r="G20" s="14">
        <f>E20-F20</f>
        <v/>
      </c>
      <c r="H20" s="15">
        <f>1+E20</f>
        <v/>
      </c>
      <c r="I20" s="15">
        <f>1+F20</f>
        <v/>
      </c>
      <c r="J20" s="16">
        <f>J19*H20</f>
        <v/>
      </c>
      <c r="K20" s="15">
        <f>K19*I20</f>
        <v/>
      </c>
      <c r="L20" s="15">
        <f>J20-K20</f>
        <v/>
      </c>
    </row>
    <row r="21">
      <c r="A21" s="5" t="n">
        <v>17</v>
      </c>
      <c r="B21" s="12" t="n">
        <v>44347</v>
      </c>
      <c r="C21" s="5" t="inlineStr">
        <is>
          <t>2021</t>
        </is>
      </c>
      <c r="D21" s="5" t="inlineStr">
        <is>
          <t>May</t>
        </is>
      </c>
      <c r="E21" s="17" t="n">
        <v>-0.008</v>
      </c>
      <c r="F21" s="14" t="n">
        <v>-0.006</v>
      </c>
      <c r="G21" s="14">
        <f>E21-F21</f>
        <v/>
      </c>
      <c r="H21" s="15">
        <f>1+E21</f>
        <v/>
      </c>
      <c r="I21" s="15">
        <f>1+F21</f>
        <v/>
      </c>
      <c r="J21" s="16">
        <f>J20*H21</f>
        <v/>
      </c>
      <c r="K21" s="15">
        <f>K20*I21</f>
        <v/>
      </c>
      <c r="L21" s="15">
        <f>J21-K21</f>
        <v/>
      </c>
    </row>
    <row r="22">
      <c r="A22" s="5" t="n">
        <v>18</v>
      </c>
      <c r="B22" s="12" t="n">
        <v>44377</v>
      </c>
      <c r="C22" s="5" t="inlineStr">
        <is>
          <t>2021</t>
        </is>
      </c>
      <c r="D22" s="5" t="inlineStr">
        <is>
          <t>Jun</t>
        </is>
      </c>
      <c r="E22" s="13" t="n">
        <v>0.032</v>
      </c>
      <c r="F22" s="14" t="n">
        <v>0.028</v>
      </c>
      <c r="G22" s="14">
        <f>E22-F22</f>
        <v/>
      </c>
      <c r="H22" s="15">
        <f>1+E22</f>
        <v/>
      </c>
      <c r="I22" s="15">
        <f>1+F22</f>
        <v/>
      </c>
      <c r="J22" s="16">
        <f>J21*H22</f>
        <v/>
      </c>
      <c r="K22" s="15">
        <f>K21*I22</f>
        <v/>
      </c>
      <c r="L22" s="15">
        <f>J22-K22</f>
        <v/>
      </c>
    </row>
    <row r="23">
      <c r="A23" s="5" t="n">
        <v>19</v>
      </c>
      <c r="B23" s="12" t="n">
        <v>44408</v>
      </c>
      <c r="C23" s="5" t="inlineStr">
        <is>
          <t>2021</t>
        </is>
      </c>
      <c r="D23" s="5" t="inlineStr">
        <is>
          <t>Jul</t>
        </is>
      </c>
      <c r="E23" s="13" t="n">
        <v>0.012</v>
      </c>
      <c r="F23" s="14" t="n">
        <v>0.01</v>
      </c>
      <c r="G23" s="14">
        <f>E23-F23</f>
        <v/>
      </c>
      <c r="H23" s="15">
        <f>1+E23</f>
        <v/>
      </c>
      <c r="I23" s="15">
        <f>1+F23</f>
        <v/>
      </c>
      <c r="J23" s="16">
        <f>J22*H23</f>
        <v/>
      </c>
      <c r="K23" s="15">
        <f>K22*I23</f>
        <v/>
      </c>
      <c r="L23" s="15">
        <f>J23-K23</f>
        <v/>
      </c>
    </row>
    <row r="24">
      <c r="A24" s="5" t="n">
        <v>20</v>
      </c>
      <c r="B24" s="12" t="n">
        <v>44439</v>
      </c>
      <c r="C24" s="5" t="inlineStr">
        <is>
          <t>2021</t>
        </is>
      </c>
      <c r="D24" s="5" t="inlineStr">
        <is>
          <t>Aug</t>
        </is>
      </c>
      <c r="E24" s="13" t="n">
        <v>0.025</v>
      </c>
      <c r="F24" s="14" t="n">
        <v>0.022</v>
      </c>
      <c r="G24" s="14">
        <f>E24-F24</f>
        <v/>
      </c>
      <c r="H24" s="15">
        <f>1+E24</f>
        <v/>
      </c>
      <c r="I24" s="15">
        <f>1+F24</f>
        <v/>
      </c>
      <c r="J24" s="16">
        <f>J23*H24</f>
        <v/>
      </c>
      <c r="K24" s="15">
        <f>K23*I24</f>
        <v/>
      </c>
      <c r="L24" s="15">
        <f>J24-K24</f>
        <v/>
      </c>
    </row>
    <row r="25">
      <c r="A25" s="5" t="n">
        <v>21</v>
      </c>
      <c r="B25" s="12" t="n">
        <v>44469</v>
      </c>
      <c r="C25" s="5" t="inlineStr">
        <is>
          <t>2021</t>
        </is>
      </c>
      <c r="D25" s="5" t="inlineStr">
        <is>
          <t>Sep</t>
        </is>
      </c>
      <c r="E25" s="17" t="n">
        <v>-0.015</v>
      </c>
      <c r="F25" s="14" t="n">
        <v>-0.012</v>
      </c>
      <c r="G25" s="14">
        <f>E25-F25</f>
        <v/>
      </c>
      <c r="H25" s="15">
        <f>1+E25</f>
        <v/>
      </c>
      <c r="I25" s="15">
        <f>1+F25</f>
        <v/>
      </c>
      <c r="J25" s="16">
        <f>J24*H25</f>
        <v/>
      </c>
      <c r="K25" s="15">
        <f>K24*I25</f>
        <v/>
      </c>
      <c r="L25" s="15">
        <f>J25-K25</f>
        <v/>
      </c>
    </row>
    <row r="26">
      <c r="A26" s="5" t="n">
        <v>22</v>
      </c>
      <c r="B26" s="12" t="n">
        <v>44500</v>
      </c>
      <c r="C26" s="5" t="inlineStr">
        <is>
          <t>2021</t>
        </is>
      </c>
      <c r="D26" s="5" t="inlineStr">
        <is>
          <t>Oct</t>
        </is>
      </c>
      <c r="E26" s="13" t="n">
        <v>0.038</v>
      </c>
      <c r="F26" s="14" t="n">
        <v>0.035</v>
      </c>
      <c r="G26" s="14">
        <f>E26-F26</f>
        <v/>
      </c>
      <c r="H26" s="15">
        <f>1+E26</f>
        <v/>
      </c>
      <c r="I26" s="15">
        <f>1+F26</f>
        <v/>
      </c>
      <c r="J26" s="16">
        <f>J25*H26</f>
        <v/>
      </c>
      <c r="K26" s="15">
        <f>K25*I26</f>
        <v/>
      </c>
      <c r="L26" s="15">
        <f>J26-K26</f>
        <v/>
      </c>
    </row>
    <row r="27">
      <c r="A27" s="5" t="n">
        <v>23</v>
      </c>
      <c r="B27" s="12" t="n">
        <v>44530</v>
      </c>
      <c r="C27" s="5" t="inlineStr">
        <is>
          <t>2021</t>
        </is>
      </c>
      <c r="D27" s="5" t="inlineStr">
        <is>
          <t>Nov</t>
        </is>
      </c>
      <c r="E27" s="13" t="n">
        <v>0.022</v>
      </c>
      <c r="F27" s="14" t="n">
        <v>0.02</v>
      </c>
      <c r="G27" s="14">
        <f>E27-F27</f>
        <v/>
      </c>
      <c r="H27" s="15">
        <f>1+E27</f>
        <v/>
      </c>
      <c r="I27" s="15">
        <f>1+F27</f>
        <v/>
      </c>
      <c r="J27" s="16">
        <f>J26*H27</f>
        <v/>
      </c>
      <c r="K27" s="15">
        <f>K26*I27</f>
        <v/>
      </c>
      <c r="L27" s="15">
        <f>J27-K27</f>
        <v/>
      </c>
    </row>
    <row r="28">
      <c r="A28" s="5" t="n">
        <v>24</v>
      </c>
      <c r="B28" s="12" t="n">
        <v>44561</v>
      </c>
      <c r="C28" s="5" t="inlineStr">
        <is>
          <t>2021</t>
        </is>
      </c>
      <c r="D28" s="5" t="inlineStr">
        <is>
          <t>Dec</t>
        </is>
      </c>
      <c r="E28" s="13" t="n">
        <v>0.015</v>
      </c>
      <c r="F28" s="14" t="n">
        <v>0.012</v>
      </c>
      <c r="G28" s="14">
        <f>E28-F28</f>
        <v/>
      </c>
      <c r="H28" s="15">
        <f>1+E28</f>
        <v/>
      </c>
      <c r="I28" s="15">
        <f>1+F28</f>
        <v/>
      </c>
      <c r="J28" s="16">
        <f>J27*H28</f>
        <v/>
      </c>
      <c r="K28" s="15">
        <f>K27*I28</f>
        <v/>
      </c>
      <c r="L28" s="15">
        <f>J28-K28</f>
        <v/>
      </c>
    </row>
    <row r="29">
      <c r="A29" s="5" t="n">
        <v>25</v>
      </c>
      <c r="B29" s="12" t="n">
        <v>44592</v>
      </c>
      <c r="C29" s="5" t="inlineStr">
        <is>
          <t>2022</t>
        </is>
      </c>
      <c r="D29" s="5" t="inlineStr">
        <is>
          <t>Jan</t>
        </is>
      </c>
      <c r="E29" s="17" t="n">
        <v>-0.025</v>
      </c>
      <c r="F29" s="14" t="n">
        <v>-0.022</v>
      </c>
      <c r="G29" s="14">
        <f>E29-F29</f>
        <v/>
      </c>
      <c r="H29" s="15">
        <f>1+E29</f>
        <v/>
      </c>
      <c r="I29" s="15">
        <f>1+F29</f>
        <v/>
      </c>
      <c r="J29" s="16">
        <f>J28*H29</f>
        <v/>
      </c>
      <c r="K29" s="15">
        <f>K28*I29</f>
        <v/>
      </c>
      <c r="L29" s="15">
        <f>J29-K29</f>
        <v/>
      </c>
    </row>
    <row r="30">
      <c r="A30" s="5" t="n">
        <v>26</v>
      </c>
      <c r="B30" s="12" t="n">
        <v>44620</v>
      </c>
      <c r="C30" s="5" t="inlineStr">
        <is>
          <t>2022</t>
        </is>
      </c>
      <c r="D30" s="5" t="inlineStr">
        <is>
          <t>Feb</t>
        </is>
      </c>
      <c r="E30" s="17" t="n">
        <v>-0.018</v>
      </c>
      <c r="F30" s="14" t="n">
        <v>-0.015</v>
      </c>
      <c r="G30" s="14">
        <f>E30-F30</f>
        <v/>
      </c>
      <c r="H30" s="15">
        <f>1+E30</f>
        <v/>
      </c>
      <c r="I30" s="15">
        <f>1+F30</f>
        <v/>
      </c>
      <c r="J30" s="16">
        <f>J29*H30</f>
        <v/>
      </c>
      <c r="K30" s="15">
        <f>K29*I30</f>
        <v/>
      </c>
      <c r="L30" s="15">
        <f>J30-K30</f>
        <v/>
      </c>
    </row>
    <row r="31">
      <c r="A31" s="5" t="n">
        <v>27</v>
      </c>
      <c r="B31" s="12" t="n">
        <v>44651</v>
      </c>
      <c r="C31" s="5" t="inlineStr">
        <is>
          <t>2022</t>
        </is>
      </c>
      <c r="D31" s="5" t="inlineStr">
        <is>
          <t>Mar</t>
        </is>
      </c>
      <c r="E31" s="13" t="n">
        <v>0.012</v>
      </c>
      <c r="F31" s="14" t="n">
        <v>0.01</v>
      </c>
      <c r="G31" s="14">
        <f>E31-F31</f>
        <v/>
      </c>
      <c r="H31" s="15">
        <f>1+E31</f>
        <v/>
      </c>
      <c r="I31" s="15">
        <f>1+F31</f>
        <v/>
      </c>
      <c r="J31" s="16">
        <f>J30*H31</f>
        <v/>
      </c>
      <c r="K31" s="15">
        <f>K30*I31</f>
        <v/>
      </c>
      <c r="L31" s="15">
        <f>J31-K31</f>
        <v/>
      </c>
    </row>
    <row r="32">
      <c r="A32" s="5" t="n">
        <v>28</v>
      </c>
      <c r="B32" s="12" t="n">
        <v>44681</v>
      </c>
      <c r="C32" s="5" t="inlineStr">
        <is>
          <t>2022</t>
        </is>
      </c>
      <c r="D32" s="5" t="inlineStr">
        <is>
          <t>Apr</t>
        </is>
      </c>
      <c r="E32" s="17" t="n">
        <v>-0.032</v>
      </c>
      <c r="F32" s="14" t="n">
        <v>-0.028</v>
      </c>
      <c r="G32" s="14">
        <f>E32-F32</f>
        <v/>
      </c>
      <c r="H32" s="15">
        <f>1+E32</f>
        <v/>
      </c>
      <c r="I32" s="15">
        <f>1+F32</f>
        <v/>
      </c>
      <c r="J32" s="16">
        <f>J31*H32</f>
        <v/>
      </c>
      <c r="K32" s="15">
        <f>K31*I32</f>
        <v/>
      </c>
      <c r="L32" s="15">
        <f>J32-K32</f>
        <v/>
      </c>
    </row>
    <row r="33">
      <c r="A33" s="5" t="n">
        <v>29</v>
      </c>
      <c r="B33" s="12" t="n">
        <v>44712</v>
      </c>
      <c r="C33" s="5" t="inlineStr">
        <is>
          <t>2022</t>
        </is>
      </c>
      <c r="D33" s="5" t="inlineStr">
        <is>
          <t>May</t>
        </is>
      </c>
      <c r="E33" s="17" t="n">
        <v>-0.015</v>
      </c>
      <c r="F33" s="14" t="n">
        <v>-0.012</v>
      </c>
      <c r="G33" s="14">
        <f>E33-F33</f>
        <v/>
      </c>
      <c r="H33" s="15">
        <f>1+E33</f>
        <v/>
      </c>
      <c r="I33" s="15">
        <f>1+F33</f>
        <v/>
      </c>
      <c r="J33" s="16">
        <f>J32*H33</f>
        <v/>
      </c>
      <c r="K33" s="15">
        <f>K32*I33</f>
        <v/>
      </c>
      <c r="L33" s="15">
        <f>J33-K33</f>
        <v/>
      </c>
    </row>
    <row r="34">
      <c r="A34" s="5" t="n">
        <v>30</v>
      </c>
      <c r="B34" s="12" t="n">
        <v>44742</v>
      </c>
      <c r="C34" s="5" t="inlineStr">
        <is>
          <t>2022</t>
        </is>
      </c>
      <c r="D34" s="5" t="inlineStr">
        <is>
          <t>Jun</t>
        </is>
      </c>
      <c r="E34" s="17" t="n">
        <v>-0.022</v>
      </c>
      <c r="F34" s="14" t="n">
        <v>-0.02</v>
      </c>
      <c r="G34" s="14">
        <f>E34-F34</f>
        <v/>
      </c>
      <c r="H34" s="15">
        <f>1+E34</f>
        <v/>
      </c>
      <c r="I34" s="15">
        <f>1+F34</f>
        <v/>
      </c>
      <c r="J34" s="16">
        <f>J33*H34</f>
        <v/>
      </c>
      <c r="K34" s="15">
        <f>K33*I34</f>
        <v/>
      </c>
      <c r="L34" s="15">
        <f>J34-K34</f>
        <v/>
      </c>
    </row>
    <row r="35">
      <c r="A35" s="5" t="n">
        <v>31</v>
      </c>
      <c r="B35" s="12" t="n">
        <v>44773</v>
      </c>
      <c r="C35" s="5" t="inlineStr">
        <is>
          <t>2022</t>
        </is>
      </c>
      <c r="D35" s="5" t="inlineStr">
        <is>
          <t>Jul</t>
        </is>
      </c>
      <c r="E35" s="13" t="n">
        <v>0.018</v>
      </c>
      <c r="F35" s="14" t="n">
        <v>0.015</v>
      </c>
      <c r="G35" s="14">
        <f>E35-F35</f>
        <v/>
      </c>
      <c r="H35" s="15">
        <f>1+E35</f>
        <v/>
      </c>
      <c r="I35" s="15">
        <f>1+F35</f>
        <v/>
      </c>
      <c r="J35" s="16">
        <f>J34*H35</f>
        <v/>
      </c>
      <c r="K35" s="15">
        <f>K34*I35</f>
        <v/>
      </c>
      <c r="L35" s="15">
        <f>J35-K35</f>
        <v/>
      </c>
    </row>
    <row r="36">
      <c r="A36" s="5" t="n">
        <v>32</v>
      </c>
      <c r="B36" s="12" t="n">
        <v>44804</v>
      </c>
      <c r="C36" s="5" t="inlineStr">
        <is>
          <t>2022</t>
        </is>
      </c>
      <c r="D36" s="5" t="inlineStr">
        <is>
          <t>Aug</t>
        </is>
      </c>
      <c r="E36" s="13" t="n">
        <v>0.008</v>
      </c>
      <c r="F36" s="14" t="n">
        <v>0.006</v>
      </c>
      <c r="G36" s="14">
        <f>E36-F36</f>
        <v/>
      </c>
      <c r="H36" s="15">
        <f>1+E36</f>
        <v/>
      </c>
      <c r="I36" s="15">
        <f>1+F36</f>
        <v/>
      </c>
      <c r="J36" s="16">
        <f>J35*H36</f>
        <v/>
      </c>
      <c r="K36" s="15">
        <f>K35*I36</f>
        <v/>
      </c>
      <c r="L36" s="15">
        <f>J36-K36</f>
        <v/>
      </c>
    </row>
    <row r="37">
      <c r="A37" s="5" t="n">
        <v>33</v>
      </c>
      <c r="B37" s="12" t="n">
        <v>44834</v>
      </c>
      <c r="C37" s="5" t="inlineStr">
        <is>
          <t>2022</t>
        </is>
      </c>
      <c r="D37" s="5" t="inlineStr">
        <is>
          <t>Sep</t>
        </is>
      </c>
      <c r="E37" s="17" t="n">
        <v>-0.028</v>
      </c>
      <c r="F37" s="14" t="n">
        <v>-0.025</v>
      </c>
      <c r="G37" s="14">
        <f>E37-F37</f>
        <v/>
      </c>
      <c r="H37" s="15">
        <f>1+E37</f>
        <v/>
      </c>
      <c r="I37" s="15">
        <f>1+F37</f>
        <v/>
      </c>
      <c r="J37" s="16">
        <f>J36*H37</f>
        <v/>
      </c>
      <c r="K37" s="15">
        <f>K36*I37</f>
        <v/>
      </c>
      <c r="L37" s="15">
        <f>J37-K37</f>
        <v/>
      </c>
    </row>
    <row r="38">
      <c r="A38" s="5" t="n">
        <v>34</v>
      </c>
      <c r="B38" s="12" t="n">
        <v>44865</v>
      </c>
      <c r="C38" s="5" t="inlineStr">
        <is>
          <t>2022</t>
        </is>
      </c>
      <c r="D38" s="5" t="inlineStr">
        <is>
          <t>Oct</t>
        </is>
      </c>
      <c r="E38" s="13" t="n">
        <v>0.015</v>
      </c>
      <c r="F38" s="14" t="n">
        <v>0.012</v>
      </c>
      <c r="G38" s="14">
        <f>E38-F38</f>
        <v/>
      </c>
      <c r="H38" s="15">
        <f>1+E38</f>
        <v/>
      </c>
      <c r="I38" s="15">
        <f>1+F38</f>
        <v/>
      </c>
      <c r="J38" s="16">
        <f>J37*H38</f>
        <v/>
      </c>
      <c r="K38" s="15">
        <f>K37*I38</f>
        <v/>
      </c>
      <c r="L38" s="15">
        <f>J38-K38</f>
        <v/>
      </c>
    </row>
    <row r="39">
      <c r="A39" s="5" t="n">
        <v>35</v>
      </c>
      <c r="B39" s="12" t="n">
        <v>44895</v>
      </c>
      <c r="C39" s="5" t="inlineStr">
        <is>
          <t>2022</t>
        </is>
      </c>
      <c r="D39" s="5" t="inlineStr">
        <is>
          <t>Nov</t>
        </is>
      </c>
      <c r="E39" s="13" t="n">
        <v>0.022</v>
      </c>
      <c r="F39" s="14" t="n">
        <v>0.02</v>
      </c>
      <c r="G39" s="14">
        <f>E39-F39</f>
        <v/>
      </c>
      <c r="H39" s="15">
        <f>1+E39</f>
        <v/>
      </c>
      <c r="I39" s="15">
        <f>1+F39</f>
        <v/>
      </c>
      <c r="J39" s="16">
        <f>J38*H39</f>
        <v/>
      </c>
      <c r="K39" s="15">
        <f>K38*I39</f>
        <v/>
      </c>
      <c r="L39" s="15">
        <f>J39-K39</f>
        <v/>
      </c>
    </row>
    <row r="40">
      <c r="A40" s="5" t="n">
        <v>36</v>
      </c>
      <c r="B40" s="12" t="n">
        <v>44926</v>
      </c>
      <c r="C40" s="5" t="inlineStr">
        <is>
          <t>2022</t>
        </is>
      </c>
      <c r="D40" s="5" t="inlineStr">
        <is>
          <t>Dec</t>
        </is>
      </c>
      <c r="E40" s="17" t="n">
        <v>-0.012</v>
      </c>
      <c r="F40" s="14" t="n">
        <v>-0.01</v>
      </c>
      <c r="G40" s="14">
        <f>E40-F40</f>
        <v/>
      </c>
      <c r="H40" s="15">
        <f>1+E40</f>
        <v/>
      </c>
      <c r="I40" s="15">
        <f>1+F40</f>
        <v/>
      </c>
      <c r="J40" s="16">
        <f>J39*H40</f>
        <v/>
      </c>
      <c r="K40" s="15">
        <f>K39*I40</f>
        <v/>
      </c>
      <c r="L40" s="15">
        <f>J40-K40</f>
        <v/>
      </c>
    </row>
    <row r="41">
      <c r="A41" s="5" t="n">
        <v>37</v>
      </c>
      <c r="B41" s="12" t="n">
        <v>44957</v>
      </c>
      <c r="C41" s="5" t="inlineStr">
        <is>
          <t>2023</t>
        </is>
      </c>
      <c r="D41" s="5" t="inlineStr">
        <is>
          <t>Jan</t>
        </is>
      </c>
      <c r="E41" s="13" t="n">
        <v>0.028</v>
      </c>
      <c r="F41" s="14" t="n">
        <v>0.025</v>
      </c>
      <c r="G41" s="14">
        <f>E41-F41</f>
        <v/>
      </c>
      <c r="H41" s="15">
        <f>1+E41</f>
        <v/>
      </c>
      <c r="I41" s="15">
        <f>1+F41</f>
        <v/>
      </c>
      <c r="J41" s="16">
        <f>J40*H41</f>
        <v/>
      </c>
      <c r="K41" s="15">
        <f>K40*I41</f>
        <v/>
      </c>
      <c r="L41" s="15">
        <f>J41-K41</f>
        <v/>
      </c>
    </row>
    <row r="42">
      <c r="A42" s="5" t="n">
        <v>38</v>
      </c>
      <c r="B42" s="12" t="n">
        <v>44985</v>
      </c>
      <c r="C42" s="5" t="inlineStr">
        <is>
          <t>2023</t>
        </is>
      </c>
      <c r="D42" s="5" t="inlineStr">
        <is>
          <t>Feb</t>
        </is>
      </c>
      <c r="E42" s="13" t="n">
        <v>0.015</v>
      </c>
      <c r="F42" s="14" t="n">
        <v>0.012</v>
      </c>
      <c r="G42" s="14">
        <f>E42-F42</f>
        <v/>
      </c>
      <c r="H42" s="15">
        <f>1+E42</f>
        <v/>
      </c>
      <c r="I42" s="15">
        <f>1+F42</f>
        <v/>
      </c>
      <c r="J42" s="16">
        <f>J41*H42</f>
        <v/>
      </c>
      <c r="K42" s="15">
        <f>K41*I42</f>
        <v/>
      </c>
      <c r="L42" s="15">
        <f>J42-K42</f>
        <v/>
      </c>
    </row>
    <row r="43">
      <c r="A43" s="5" t="n">
        <v>39</v>
      </c>
      <c r="B43" s="12" t="n">
        <v>45016</v>
      </c>
      <c r="C43" s="5" t="inlineStr">
        <is>
          <t>2023</t>
        </is>
      </c>
      <c r="D43" s="5" t="inlineStr">
        <is>
          <t>Mar</t>
        </is>
      </c>
      <c r="E43" s="13" t="n">
        <v>0.022</v>
      </c>
      <c r="F43" s="14" t="n">
        <v>0.02</v>
      </c>
      <c r="G43" s="14">
        <f>E43-F43</f>
        <v/>
      </c>
      <c r="H43" s="15">
        <f>1+E43</f>
        <v/>
      </c>
      <c r="I43" s="15">
        <f>1+F43</f>
        <v/>
      </c>
      <c r="J43" s="16">
        <f>J42*H43</f>
        <v/>
      </c>
      <c r="K43" s="15">
        <f>K42*I43</f>
        <v/>
      </c>
      <c r="L43" s="15">
        <f>J43-K43</f>
        <v/>
      </c>
    </row>
    <row r="44">
      <c r="A44" s="5" t="n">
        <v>40</v>
      </c>
      <c r="B44" s="12" t="n">
        <v>45046</v>
      </c>
      <c r="C44" s="5" t="inlineStr">
        <is>
          <t>2023</t>
        </is>
      </c>
      <c r="D44" s="5" t="inlineStr">
        <is>
          <t>Apr</t>
        </is>
      </c>
      <c r="E44" s="17" t="n">
        <v>-0.008</v>
      </c>
      <c r="F44" s="14" t="n">
        <v>-0.006</v>
      </c>
      <c r="G44" s="14">
        <f>E44-F44</f>
        <v/>
      </c>
      <c r="H44" s="15">
        <f>1+E44</f>
        <v/>
      </c>
      <c r="I44" s="15">
        <f>1+F44</f>
        <v/>
      </c>
      <c r="J44" s="16">
        <f>J43*H44</f>
        <v/>
      </c>
      <c r="K44" s="15">
        <f>K43*I44</f>
        <v/>
      </c>
      <c r="L44" s="15">
        <f>J44-K44</f>
        <v/>
      </c>
    </row>
    <row r="45">
      <c r="A45" s="5" t="n">
        <v>41</v>
      </c>
      <c r="B45" s="12" t="n">
        <v>45077</v>
      </c>
      <c r="C45" s="5" t="inlineStr">
        <is>
          <t>2023</t>
        </is>
      </c>
      <c r="D45" s="5" t="inlineStr">
        <is>
          <t>May</t>
        </is>
      </c>
      <c r="E45" s="13" t="n">
        <v>0.032</v>
      </c>
      <c r="F45" s="14" t="n">
        <v>0.028</v>
      </c>
      <c r="G45" s="14">
        <f>E45-F45</f>
        <v/>
      </c>
      <c r="H45" s="15">
        <f>1+E45</f>
        <v/>
      </c>
      <c r="I45" s="15">
        <f>1+F45</f>
        <v/>
      </c>
      <c r="J45" s="16">
        <f>J44*H45</f>
        <v/>
      </c>
      <c r="K45" s="15">
        <f>K44*I45</f>
        <v/>
      </c>
      <c r="L45" s="15">
        <f>J45-K45</f>
        <v/>
      </c>
    </row>
    <row r="46">
      <c r="A46" s="5" t="n">
        <v>42</v>
      </c>
      <c r="B46" s="12" t="n">
        <v>45107</v>
      </c>
      <c r="C46" s="5" t="inlineStr">
        <is>
          <t>2023</t>
        </is>
      </c>
      <c r="D46" s="5" t="inlineStr">
        <is>
          <t>Jun</t>
        </is>
      </c>
      <c r="E46" s="13" t="n">
        <v>0.018</v>
      </c>
      <c r="F46" s="14" t="n">
        <v>0.015</v>
      </c>
      <c r="G46" s="14">
        <f>E46-F46</f>
        <v/>
      </c>
      <c r="H46" s="15">
        <f>1+E46</f>
        <v/>
      </c>
      <c r="I46" s="15">
        <f>1+F46</f>
        <v/>
      </c>
      <c r="J46" s="16">
        <f>J45*H46</f>
        <v/>
      </c>
      <c r="K46" s="15">
        <f>K45*I46</f>
        <v/>
      </c>
      <c r="L46" s="15">
        <f>J46-K46</f>
        <v/>
      </c>
    </row>
    <row r="47">
      <c r="A47" s="5" t="n">
        <v>43</v>
      </c>
      <c r="B47" s="12" t="n">
        <v>45138</v>
      </c>
      <c r="C47" s="5" t="inlineStr">
        <is>
          <t>2023</t>
        </is>
      </c>
      <c r="D47" s="5" t="inlineStr">
        <is>
          <t>Jul</t>
        </is>
      </c>
      <c r="E47" s="13" t="n">
        <v>0.025</v>
      </c>
      <c r="F47" s="14" t="n">
        <v>0.022</v>
      </c>
      <c r="G47" s="14">
        <f>E47-F47</f>
        <v/>
      </c>
      <c r="H47" s="15">
        <f>1+E47</f>
        <v/>
      </c>
      <c r="I47" s="15">
        <f>1+F47</f>
        <v/>
      </c>
      <c r="J47" s="16">
        <f>J46*H47</f>
        <v/>
      </c>
      <c r="K47" s="15">
        <f>K46*I47</f>
        <v/>
      </c>
      <c r="L47" s="15">
        <f>J47-K47</f>
        <v/>
      </c>
    </row>
    <row r="48">
      <c r="A48" s="5" t="n">
        <v>44</v>
      </c>
      <c r="B48" s="12" t="n">
        <v>45169</v>
      </c>
      <c r="C48" s="5" t="inlineStr">
        <is>
          <t>2023</t>
        </is>
      </c>
      <c r="D48" s="5" t="inlineStr">
        <is>
          <t>Aug</t>
        </is>
      </c>
      <c r="E48" s="17" t="n">
        <v>-0.012</v>
      </c>
      <c r="F48" s="14" t="n">
        <v>-0.01</v>
      </c>
      <c r="G48" s="14">
        <f>E48-F48</f>
        <v/>
      </c>
      <c r="H48" s="15">
        <f>1+E48</f>
        <v/>
      </c>
      <c r="I48" s="15">
        <f>1+F48</f>
        <v/>
      </c>
      <c r="J48" s="16">
        <f>J47*H48</f>
        <v/>
      </c>
      <c r="K48" s="15">
        <f>K47*I48</f>
        <v/>
      </c>
      <c r="L48" s="15">
        <f>J48-K48</f>
        <v/>
      </c>
    </row>
    <row r="49">
      <c r="A49" s="5" t="n">
        <v>45</v>
      </c>
      <c r="B49" s="12" t="n">
        <v>45199</v>
      </c>
      <c r="C49" s="5" t="inlineStr">
        <is>
          <t>2023</t>
        </is>
      </c>
      <c r="D49" s="5" t="inlineStr">
        <is>
          <t>Sep</t>
        </is>
      </c>
      <c r="E49" s="13" t="n">
        <v>0.015</v>
      </c>
      <c r="F49" s="14" t="n">
        <v>0.012</v>
      </c>
      <c r="G49" s="14">
        <f>E49-F49</f>
        <v/>
      </c>
      <c r="H49" s="15">
        <f>1+E49</f>
        <v/>
      </c>
      <c r="I49" s="15">
        <f>1+F49</f>
        <v/>
      </c>
      <c r="J49" s="16">
        <f>J48*H49</f>
        <v/>
      </c>
      <c r="K49" s="15">
        <f>K48*I49</f>
        <v/>
      </c>
      <c r="L49" s="15">
        <f>J49-K49</f>
        <v/>
      </c>
    </row>
    <row r="50">
      <c r="A50" s="5" t="n">
        <v>46</v>
      </c>
      <c r="B50" s="12" t="n">
        <v>45230</v>
      </c>
      <c r="C50" s="5" t="inlineStr">
        <is>
          <t>2023</t>
        </is>
      </c>
      <c r="D50" s="5" t="inlineStr">
        <is>
          <t>Oct</t>
        </is>
      </c>
      <c r="E50" s="13" t="n">
        <v>0.028</v>
      </c>
      <c r="F50" s="14" t="n">
        <v>0.025</v>
      </c>
      <c r="G50" s="14">
        <f>E50-F50</f>
        <v/>
      </c>
      <c r="H50" s="15">
        <f>1+E50</f>
        <v/>
      </c>
      <c r="I50" s="15">
        <f>1+F50</f>
        <v/>
      </c>
      <c r="J50" s="16">
        <f>J49*H50</f>
        <v/>
      </c>
      <c r="K50" s="15">
        <f>K49*I50</f>
        <v/>
      </c>
      <c r="L50" s="15">
        <f>J50-K50</f>
        <v/>
      </c>
    </row>
    <row r="51">
      <c r="A51" s="5" t="n">
        <v>47</v>
      </c>
      <c r="B51" s="12" t="n">
        <v>45260</v>
      </c>
      <c r="C51" s="5" t="inlineStr">
        <is>
          <t>2023</t>
        </is>
      </c>
      <c r="D51" s="5" t="inlineStr">
        <is>
          <t>Nov</t>
        </is>
      </c>
      <c r="E51" s="13" t="n">
        <v>0.022</v>
      </c>
      <c r="F51" s="14" t="n">
        <v>0.02</v>
      </c>
      <c r="G51" s="14">
        <f>E51-F51</f>
        <v/>
      </c>
      <c r="H51" s="15">
        <f>1+E51</f>
        <v/>
      </c>
      <c r="I51" s="15">
        <f>1+F51</f>
        <v/>
      </c>
      <c r="J51" s="16">
        <f>J50*H51</f>
        <v/>
      </c>
      <c r="K51" s="15">
        <f>K50*I51</f>
        <v/>
      </c>
      <c r="L51" s="15">
        <f>J51-K51</f>
        <v/>
      </c>
    </row>
    <row r="52">
      <c r="A52" s="5" t="n">
        <v>48</v>
      </c>
      <c r="B52" s="12" t="n">
        <v>45291</v>
      </c>
      <c r="C52" s="5" t="inlineStr">
        <is>
          <t>2023</t>
        </is>
      </c>
      <c r="D52" s="5" t="inlineStr">
        <is>
          <t>Dec</t>
        </is>
      </c>
      <c r="E52" s="13" t="n">
        <v>0.018</v>
      </c>
      <c r="F52" s="14" t="n">
        <v>0.015</v>
      </c>
      <c r="G52" s="14">
        <f>E52-F52</f>
        <v/>
      </c>
      <c r="H52" s="15">
        <f>1+E52</f>
        <v/>
      </c>
      <c r="I52" s="15">
        <f>1+F52</f>
        <v/>
      </c>
      <c r="J52" s="16">
        <f>J51*H52</f>
        <v/>
      </c>
      <c r="K52" s="15">
        <f>K51*I52</f>
        <v/>
      </c>
      <c r="L52" s="15">
        <f>J52-K52</f>
        <v/>
      </c>
    </row>
    <row r="53">
      <c r="A53" s="5" t="n">
        <v>49</v>
      </c>
      <c r="B53" s="12" t="n">
        <v>45322</v>
      </c>
      <c r="C53" s="5" t="inlineStr">
        <is>
          <t>2024</t>
        </is>
      </c>
      <c r="D53" s="5" t="inlineStr">
        <is>
          <t>Jan</t>
        </is>
      </c>
      <c r="E53" s="13" t="n">
        <v>0.022</v>
      </c>
      <c r="F53" s="14" t="n">
        <v>0.02</v>
      </c>
      <c r="G53" s="14">
        <f>E53-F53</f>
        <v/>
      </c>
      <c r="H53" s="15">
        <f>1+E53</f>
        <v/>
      </c>
      <c r="I53" s="15">
        <f>1+F53</f>
        <v/>
      </c>
      <c r="J53" s="16">
        <f>J52*H53</f>
        <v/>
      </c>
      <c r="K53" s="15">
        <f>K52*I53</f>
        <v/>
      </c>
      <c r="L53" s="15">
        <f>J53-K53</f>
        <v/>
      </c>
    </row>
    <row r="54">
      <c r="A54" s="5" t="n">
        <v>50</v>
      </c>
      <c r="B54" s="12" t="n">
        <v>45351</v>
      </c>
      <c r="C54" s="5" t="inlineStr">
        <is>
          <t>2024</t>
        </is>
      </c>
      <c r="D54" s="5" t="inlineStr">
        <is>
          <t>Feb</t>
        </is>
      </c>
      <c r="E54" s="13" t="n">
        <v>0.015</v>
      </c>
      <c r="F54" s="14" t="n">
        <v>0.012</v>
      </c>
      <c r="G54" s="14">
        <f>E54-F54</f>
        <v/>
      </c>
      <c r="H54" s="15">
        <f>1+E54</f>
        <v/>
      </c>
      <c r="I54" s="15">
        <f>1+F54</f>
        <v/>
      </c>
      <c r="J54" s="16">
        <f>J53*H54</f>
        <v/>
      </c>
      <c r="K54" s="15">
        <f>K53*I54</f>
        <v/>
      </c>
      <c r="L54" s="15">
        <f>J54-K54</f>
        <v/>
      </c>
    </row>
    <row r="55">
      <c r="A55" s="5" t="n">
        <v>51</v>
      </c>
      <c r="B55" s="12" t="n">
        <v>45382</v>
      </c>
      <c r="C55" s="5" t="inlineStr">
        <is>
          <t>2024</t>
        </is>
      </c>
      <c r="D55" s="5" t="inlineStr">
        <is>
          <t>Mar</t>
        </is>
      </c>
      <c r="E55" s="13" t="n">
        <v>0.028</v>
      </c>
      <c r="F55" s="14" t="n">
        <v>0.025</v>
      </c>
      <c r="G55" s="14">
        <f>E55-F55</f>
        <v/>
      </c>
      <c r="H55" s="15">
        <f>1+E55</f>
        <v/>
      </c>
      <c r="I55" s="15">
        <f>1+F55</f>
        <v/>
      </c>
      <c r="J55" s="16">
        <f>J54*H55</f>
        <v/>
      </c>
      <c r="K55" s="15">
        <f>K54*I55</f>
        <v/>
      </c>
      <c r="L55" s="15">
        <f>J55-K55</f>
        <v/>
      </c>
    </row>
    <row r="56">
      <c r="A56" s="5" t="n">
        <v>52</v>
      </c>
      <c r="B56" s="12" t="n">
        <v>45412</v>
      </c>
      <c r="C56" s="5" t="inlineStr">
        <is>
          <t>2024</t>
        </is>
      </c>
      <c r="D56" s="5" t="inlineStr">
        <is>
          <t>Apr</t>
        </is>
      </c>
      <c r="E56" s="13" t="n">
        <v>0.012</v>
      </c>
      <c r="F56" s="14" t="n">
        <v>0.01</v>
      </c>
      <c r="G56" s="14">
        <f>E56-F56</f>
        <v/>
      </c>
      <c r="H56" s="15">
        <f>1+E56</f>
        <v/>
      </c>
      <c r="I56" s="15">
        <f>1+F56</f>
        <v/>
      </c>
      <c r="J56" s="16">
        <f>J55*H56</f>
        <v/>
      </c>
      <c r="K56" s="15">
        <f>K55*I56</f>
        <v/>
      </c>
      <c r="L56" s="15">
        <f>J56-K56</f>
        <v/>
      </c>
    </row>
    <row r="57">
      <c r="A57" s="5" t="n">
        <v>53</v>
      </c>
      <c r="B57" s="12" t="n">
        <v>45443</v>
      </c>
      <c r="C57" s="5" t="inlineStr">
        <is>
          <t>2024</t>
        </is>
      </c>
      <c r="D57" s="5" t="inlineStr">
        <is>
          <t>May</t>
        </is>
      </c>
      <c r="E57" s="17" t="n">
        <v>-0.008</v>
      </c>
      <c r="F57" s="14" t="n">
        <v>-0.006</v>
      </c>
      <c r="G57" s="14">
        <f>E57-F57</f>
        <v/>
      </c>
      <c r="H57" s="15">
        <f>1+E57</f>
        <v/>
      </c>
      <c r="I57" s="15">
        <f>1+F57</f>
        <v/>
      </c>
      <c r="J57" s="16">
        <f>J56*H57</f>
        <v/>
      </c>
      <c r="K57" s="15">
        <f>K56*I57</f>
        <v/>
      </c>
      <c r="L57" s="15">
        <f>J57-K57</f>
        <v/>
      </c>
    </row>
    <row r="58">
      <c r="A58" s="5" t="n">
        <v>54</v>
      </c>
      <c r="B58" s="12" t="n">
        <v>45473</v>
      </c>
      <c r="C58" s="5" t="inlineStr">
        <is>
          <t>2024</t>
        </is>
      </c>
      <c r="D58" s="5" t="inlineStr">
        <is>
          <t>Jun</t>
        </is>
      </c>
      <c r="E58" s="13" t="n">
        <v>0.025</v>
      </c>
      <c r="F58" s="14" t="n">
        <v>0.022</v>
      </c>
      <c r="G58" s="14">
        <f>E58-F58</f>
        <v/>
      </c>
      <c r="H58" s="15">
        <f>1+E58</f>
        <v/>
      </c>
      <c r="I58" s="15">
        <f>1+F58</f>
        <v/>
      </c>
      <c r="J58" s="16">
        <f>J57*H58</f>
        <v/>
      </c>
      <c r="K58" s="15">
        <f>K57*I58</f>
        <v/>
      </c>
      <c r="L58" s="15">
        <f>J58-K58</f>
        <v/>
      </c>
    </row>
    <row r="59">
      <c r="A59" s="5" t="n">
        <v>55</v>
      </c>
      <c r="B59" s="12" t="n">
        <v>45504</v>
      </c>
      <c r="C59" s="5" t="inlineStr">
        <is>
          <t>2024</t>
        </is>
      </c>
      <c r="D59" s="5" t="inlineStr">
        <is>
          <t>Jul</t>
        </is>
      </c>
      <c r="E59" s="13" t="n">
        <v>0.018</v>
      </c>
      <c r="F59" s="14" t="n">
        <v>0.015</v>
      </c>
      <c r="G59" s="14">
        <f>E59-F59</f>
        <v/>
      </c>
      <c r="H59" s="15">
        <f>1+E59</f>
        <v/>
      </c>
      <c r="I59" s="15">
        <f>1+F59</f>
        <v/>
      </c>
      <c r="J59" s="16">
        <f>J58*H59</f>
        <v/>
      </c>
      <c r="K59" s="15">
        <f>K58*I59</f>
        <v/>
      </c>
      <c r="L59" s="15">
        <f>J59-K59</f>
        <v/>
      </c>
    </row>
    <row r="60">
      <c r="A60" s="5" t="n">
        <v>56</v>
      </c>
      <c r="B60" s="12" t="n">
        <v>45535</v>
      </c>
      <c r="C60" s="5" t="inlineStr">
        <is>
          <t>2024</t>
        </is>
      </c>
      <c r="D60" s="5" t="inlineStr">
        <is>
          <t>Aug</t>
        </is>
      </c>
      <c r="E60" s="13" t="n">
        <v>0.022</v>
      </c>
      <c r="F60" s="14" t="n">
        <v>0.02</v>
      </c>
      <c r="G60" s="14">
        <f>E60-F60</f>
        <v/>
      </c>
      <c r="H60" s="15">
        <f>1+E60</f>
        <v/>
      </c>
      <c r="I60" s="15">
        <f>1+F60</f>
        <v/>
      </c>
      <c r="J60" s="16">
        <f>J59*H60</f>
        <v/>
      </c>
      <c r="K60" s="15">
        <f>K59*I60</f>
        <v/>
      </c>
      <c r="L60" s="15">
        <f>J60-K60</f>
        <v/>
      </c>
    </row>
    <row r="61">
      <c r="A61" s="5" t="n">
        <v>57</v>
      </c>
      <c r="B61" s="12" t="n">
        <v>45565</v>
      </c>
      <c r="C61" s="5" t="inlineStr">
        <is>
          <t>2024</t>
        </is>
      </c>
      <c r="D61" s="5" t="inlineStr">
        <is>
          <t>Sep</t>
        </is>
      </c>
      <c r="E61" s="17" t="n">
        <v>-0.015</v>
      </c>
      <c r="F61" s="14" t="n">
        <v>-0.012</v>
      </c>
      <c r="G61" s="14">
        <f>E61-F61</f>
        <v/>
      </c>
      <c r="H61" s="15">
        <f>1+E61</f>
        <v/>
      </c>
      <c r="I61" s="15">
        <f>1+F61</f>
        <v/>
      </c>
      <c r="J61" s="16">
        <f>J60*H61</f>
        <v/>
      </c>
      <c r="K61" s="15">
        <f>K60*I61</f>
        <v/>
      </c>
      <c r="L61" s="15">
        <f>J61-K61</f>
        <v/>
      </c>
    </row>
    <row r="62">
      <c r="A62" s="5" t="n">
        <v>58</v>
      </c>
      <c r="B62" s="12" t="n">
        <v>45596</v>
      </c>
      <c r="C62" s="5" t="inlineStr">
        <is>
          <t>2024</t>
        </is>
      </c>
      <c r="D62" s="5" t="inlineStr">
        <is>
          <t>Oct</t>
        </is>
      </c>
      <c r="E62" s="13" t="n">
        <v>0.032</v>
      </c>
      <c r="F62" s="14" t="n">
        <v>0.028</v>
      </c>
      <c r="G62" s="14">
        <f>E62-F62</f>
        <v/>
      </c>
      <c r="H62" s="15">
        <f>1+E62</f>
        <v/>
      </c>
      <c r="I62" s="15">
        <f>1+F62</f>
        <v/>
      </c>
      <c r="J62" s="16">
        <f>J61*H62</f>
        <v/>
      </c>
      <c r="K62" s="15">
        <f>K61*I62</f>
        <v/>
      </c>
      <c r="L62" s="15">
        <f>J62-K62</f>
        <v/>
      </c>
    </row>
    <row r="63">
      <c r="A63" s="5" t="n">
        <v>59</v>
      </c>
      <c r="B63" s="12" t="n">
        <v>45626</v>
      </c>
      <c r="C63" s="5" t="inlineStr">
        <is>
          <t>2024</t>
        </is>
      </c>
      <c r="D63" s="5" t="inlineStr">
        <is>
          <t>Nov</t>
        </is>
      </c>
      <c r="E63" s="13" t="n">
        <v>0.025</v>
      </c>
      <c r="F63" s="14" t="n">
        <v>0.022</v>
      </c>
      <c r="G63" s="14">
        <f>E63-F63</f>
        <v/>
      </c>
      <c r="H63" s="15">
        <f>1+E63</f>
        <v/>
      </c>
      <c r="I63" s="15">
        <f>1+F63</f>
        <v/>
      </c>
      <c r="J63" s="16">
        <f>J62*H63</f>
        <v/>
      </c>
      <c r="K63" s="15">
        <f>K62*I63</f>
        <v/>
      </c>
      <c r="L63" s="15">
        <f>J63-K63</f>
        <v/>
      </c>
    </row>
    <row r="64">
      <c r="A64" s="5" t="n">
        <v>60</v>
      </c>
      <c r="B64" s="12" t="n">
        <v>45657</v>
      </c>
      <c r="C64" s="5" t="inlineStr">
        <is>
          <t>2024</t>
        </is>
      </c>
      <c r="D64" s="5" t="inlineStr">
        <is>
          <t>Dec</t>
        </is>
      </c>
      <c r="E64" s="13" t="n">
        <v>0.018</v>
      </c>
      <c r="F64" s="14" t="n">
        <v>0.015</v>
      </c>
      <c r="G64" s="14">
        <f>E64-F64</f>
        <v/>
      </c>
      <c r="H64" s="15">
        <f>1+E64</f>
        <v/>
      </c>
      <c r="I64" s="15">
        <f>1+F64</f>
        <v/>
      </c>
      <c r="J64" s="16">
        <f>J63*H64</f>
        <v/>
      </c>
      <c r="K64" s="15">
        <f>K63*I64</f>
        <v/>
      </c>
      <c r="L64" s="15">
        <f>J64-K64</f>
        <v/>
      </c>
    </row>
    <row r="65">
      <c r="A65" s="18" t="inlineStr">
        <is>
          <t>TOTALS/FINAL</t>
        </is>
      </c>
      <c r="E65" s="19">
        <f>AVERAGE(E5:E64)</f>
        <v/>
      </c>
      <c r="J65" s="20">
        <f>J64</f>
        <v/>
      </c>
    </row>
    <row r="67">
      <c r="A67" s="21" t="inlineStr">
        <is>
          <t>FINAL CALCULATIONS</t>
        </is>
      </c>
    </row>
    <row r="68">
      <c r="A68" s="8" t="inlineStr">
        <is>
          <t>Metric</t>
        </is>
      </c>
      <c r="B68" s="8" t="inlineStr">
        <is>
          <t>Formula</t>
        </is>
      </c>
      <c r="C68" s="8" t="inlineStr">
        <is>
          <t>Cell Reference</t>
        </is>
      </c>
      <c r="D68" s="8" t="inlineStr">
        <is>
          <t>Result</t>
        </is>
      </c>
    </row>
    <row r="69">
      <c r="A69" s="5" t="inlineStr">
        <is>
          <t>Final Cumulative Factor</t>
        </is>
      </c>
      <c r="B69" s="5">
        <f>J64</f>
        <v/>
      </c>
      <c r="C69" s="5" t="inlineStr">
        <is>
          <t>J64</t>
        </is>
      </c>
      <c r="D69" s="22">
        <f>J64</f>
        <v/>
      </c>
    </row>
    <row r="70">
      <c r="A70" s="5" t="inlineStr">
        <is>
          <t>60-Month Cumulative Return</t>
        </is>
      </c>
      <c r="B70" s="5">
        <f>J64-1</f>
        <v/>
      </c>
      <c r="C70" s="5" t="inlineStr">
        <is>
          <t>Calculated</t>
        </is>
      </c>
      <c r="D70" s="23">
        <f>J64-1</f>
        <v/>
      </c>
    </row>
    <row r="71">
      <c r="A71" s="5" t="inlineStr">
        <is>
          <t>Annualized Return (CAGR)</t>
        </is>
      </c>
      <c r="B71" s="5">
        <f>J64^(12/60)-1</f>
        <v/>
      </c>
      <c r="C71" s="5" t="inlineStr">
        <is>
          <t>Calculated</t>
        </is>
      </c>
      <c r="D71" s="23">
        <f>J64^(12/60)-1</f>
        <v/>
      </c>
    </row>
    <row r="72">
      <c r="A72" s="5" t="inlineStr">
        <is>
          <t>Average Monthly Return</t>
        </is>
      </c>
      <c r="B72" s="5">
        <f>AVERAGE(E5:E64)</f>
        <v/>
      </c>
      <c r="C72" s="5" t="inlineStr">
        <is>
          <t>E5:E64</t>
        </is>
      </c>
      <c r="D72" s="23">
        <f>AVERAGE(E5:E64)</f>
        <v/>
      </c>
    </row>
    <row r="73">
      <c r="A73" s="5" t="inlineStr">
        <is>
          <t>Monthly Std Dev</t>
        </is>
      </c>
      <c r="B73" s="5">
        <f>STDEV(E5:E64)</f>
        <v/>
      </c>
      <c r="C73" s="5" t="inlineStr">
        <is>
          <t>E5:E64</t>
        </is>
      </c>
      <c r="D73" s="22">
        <f>STDEV(E5:E64)</f>
        <v/>
      </c>
    </row>
    <row r="74">
      <c r="A74" s="5" t="inlineStr">
        <is>
          <t>Annualized Volatility</t>
        </is>
      </c>
      <c r="B74" s="5">
        <f>STDEV(E5:E64)*SQRT(12)</f>
        <v/>
      </c>
      <c r="C74" s="5" t="inlineStr">
        <is>
          <t>Calculated</t>
        </is>
      </c>
      <c r="D74" s="23">
        <f>STDEV(E5:E64)*SQRT(12)</f>
        <v/>
      </c>
    </row>
    <row r="75">
      <c r="A75" s="5" t="inlineStr">
        <is>
          <t>Positive Months</t>
        </is>
      </c>
      <c r="B75" s="5">
        <f>COUNTIF(E5:E64,"&gt;0")</f>
        <v/>
      </c>
      <c r="C75" s="5" t="inlineStr">
        <is>
          <t>E5:E64</t>
        </is>
      </c>
      <c r="D75" s="22">
        <f>COUNTIF(E5:E64,"&gt;0")</f>
        <v/>
      </c>
    </row>
    <row r="76">
      <c r="A76" s="5" t="inlineStr">
        <is>
          <t>Negative Months</t>
        </is>
      </c>
      <c r="B76" s="5">
        <f>COUNTIF(E5:E64,"&lt;0")</f>
        <v/>
      </c>
      <c r="C76" s="5" t="inlineStr">
        <is>
          <t>E5:E64</t>
        </is>
      </c>
      <c r="D76" s="22">
        <f>COUNTIF(E5:E64,"&lt;0")</f>
        <v/>
      </c>
    </row>
    <row r="77">
      <c r="A77" s="5" t="inlineStr">
        <is>
          <t>Best Month</t>
        </is>
      </c>
      <c r="B77" s="5">
        <f>MAX(E5:E64)</f>
        <v/>
      </c>
      <c r="C77" s="5" t="inlineStr">
        <is>
          <t>E5:E64</t>
        </is>
      </c>
      <c r="D77" s="22">
        <f>MAX(E5:E64)</f>
        <v/>
      </c>
    </row>
    <row r="78">
      <c r="A78" s="5" t="inlineStr">
        <is>
          <t>Worst Month</t>
        </is>
      </c>
      <c r="B78" s="5">
        <f>MIN(E5:E64)</f>
        <v/>
      </c>
      <c r="C78" s="5" t="inlineStr">
        <is>
          <t>E5:E64</t>
        </is>
      </c>
      <c r="D78" s="22">
        <f>MIN(E5:E64)</f>
        <v/>
      </c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</cols>
  <sheetData>
    <row r="1">
      <c r="A1" s="3" t="inlineStr">
        <is>
          <t>CUMULATIVE RETURN - GEOMETRIC COMPOUNDING (GIPS METHODOLOGY)</t>
        </is>
      </c>
    </row>
    <row r="3">
      <c r="A3" s="24" t="inlineStr">
        <is>
          <t>Formula: Cumulative Return = ∏(1 + Ri) - 1 = [(1+R1) × (1+R2) × ... × (1+Rn)] - 1</t>
        </is>
      </c>
    </row>
    <row r="4">
      <c r="A4" s="25" t="inlineStr">
        <is>
          <t>Source: GIPS 2020 Handbook, Section 2.A.1 - Time-Weighted Returns</t>
        </is>
      </c>
    </row>
    <row r="6">
      <c r="A6" s="8" t="inlineStr">
        <is>
          <t>Step</t>
        </is>
      </c>
      <c r="B6" s="8" t="inlineStr">
        <is>
          <t>Month</t>
        </is>
      </c>
      <c r="C6" s="8" t="inlineStr">
        <is>
          <t>Date</t>
        </is>
      </c>
      <c r="D6" s="8" t="inlineStr">
        <is>
          <t>Return (Ri)</t>
        </is>
      </c>
      <c r="E6" s="8" t="inlineStr">
        <is>
          <t>1 + Ri</t>
        </is>
      </c>
      <c r="F6" s="8" t="inlineStr">
        <is>
          <t>Running Product</t>
        </is>
      </c>
      <c r="G6" s="8" t="inlineStr">
        <is>
          <t>Cumulative %</t>
        </is>
      </c>
      <c r="H6" s="8" t="inlineStr">
        <is>
          <t>Verification</t>
        </is>
      </c>
    </row>
    <row r="7">
      <c r="A7" s="5" t="n">
        <v>1</v>
      </c>
      <c r="B7" s="5" t="inlineStr">
        <is>
          <t>Jan 2020</t>
        </is>
      </c>
      <c r="C7" s="12" t="n">
        <v>43861</v>
      </c>
      <c r="D7" s="26" t="n">
        <v>0.012</v>
      </c>
      <c r="E7" s="27">
        <f>1+D7</f>
        <v/>
      </c>
      <c r="F7" s="28">
        <f>E7</f>
        <v/>
      </c>
      <c r="G7" s="14">
        <f>(F7-1)</f>
        <v/>
      </c>
      <c r="H7" s="14">
        <f>PRODUCT(E$7:E7)-1</f>
        <v/>
      </c>
    </row>
    <row r="8">
      <c r="A8" s="5" t="n">
        <v>2</v>
      </c>
      <c r="B8" s="5" t="inlineStr">
        <is>
          <t>Feb 2020</t>
        </is>
      </c>
      <c r="C8" s="12" t="n">
        <v>43890</v>
      </c>
      <c r="D8" s="26" t="n">
        <v>0.008</v>
      </c>
      <c r="E8" s="27">
        <f>1+D8</f>
        <v/>
      </c>
      <c r="F8" s="28">
        <f>F7*E8</f>
        <v/>
      </c>
      <c r="G8" s="14">
        <f>(F8-1)</f>
        <v/>
      </c>
      <c r="H8" s="14">
        <f>PRODUCT(E$7:E8)-1</f>
        <v/>
      </c>
    </row>
    <row r="9">
      <c r="A9" s="5" t="n">
        <v>3</v>
      </c>
      <c r="B9" s="5" t="inlineStr">
        <is>
          <t>Mar 2020</t>
        </is>
      </c>
      <c r="C9" s="12" t="n">
        <v>43921</v>
      </c>
      <c r="D9" s="26" t="n">
        <v>-0.035</v>
      </c>
      <c r="E9" s="27">
        <f>1+D9</f>
        <v/>
      </c>
      <c r="F9" s="28">
        <f>F8*E9</f>
        <v/>
      </c>
      <c r="G9" s="14">
        <f>(F9-1)</f>
        <v/>
      </c>
      <c r="H9" s="14">
        <f>PRODUCT(E$7:E9)-1</f>
        <v/>
      </c>
    </row>
    <row r="10">
      <c r="A10" s="5" t="n">
        <v>4</v>
      </c>
      <c r="B10" s="5" t="inlineStr">
        <is>
          <t>Apr 2020</t>
        </is>
      </c>
      <c r="C10" s="12" t="n">
        <v>43951</v>
      </c>
      <c r="D10" s="26" t="n">
        <v>0.045</v>
      </c>
      <c r="E10" s="27">
        <f>1+D10</f>
        <v/>
      </c>
      <c r="F10" s="28">
        <f>F9*E10</f>
        <v/>
      </c>
      <c r="G10" s="14">
        <f>(F10-1)</f>
        <v/>
      </c>
      <c r="H10" s="14">
        <f>PRODUCT(E$7:E10)-1</f>
        <v/>
      </c>
    </row>
    <row r="11">
      <c r="A11" s="5" t="n">
        <v>5</v>
      </c>
      <c r="B11" s="5" t="inlineStr">
        <is>
          <t>May 2020</t>
        </is>
      </c>
      <c r="C11" s="12" t="n">
        <v>43982</v>
      </c>
      <c r="D11" s="26" t="n">
        <v>0.028</v>
      </c>
      <c r="E11" s="27">
        <f>1+D11</f>
        <v/>
      </c>
      <c r="F11" s="28">
        <f>F10*E11</f>
        <v/>
      </c>
      <c r="G11" s="14">
        <f>(F11-1)</f>
        <v/>
      </c>
      <c r="H11" s="14">
        <f>PRODUCT(E$7:E11)-1</f>
        <v/>
      </c>
    </row>
    <row r="12">
      <c r="A12" s="5" t="n">
        <v>6</v>
      </c>
      <c r="B12" s="5" t="inlineStr">
        <is>
          <t>Jun 2020</t>
        </is>
      </c>
      <c r="C12" s="12" t="n">
        <v>44012</v>
      </c>
      <c r="D12" s="26" t="n">
        <v>0.015</v>
      </c>
      <c r="E12" s="27">
        <f>1+D12</f>
        <v/>
      </c>
      <c r="F12" s="28">
        <f>F11*E12</f>
        <v/>
      </c>
      <c r="G12" s="14">
        <f>(F12-1)</f>
        <v/>
      </c>
      <c r="H12" s="14">
        <f>PRODUCT(E$7:E12)-1</f>
        <v/>
      </c>
    </row>
    <row r="13">
      <c r="A13" s="5" t="n">
        <v>7</v>
      </c>
      <c r="B13" s="5" t="inlineStr">
        <is>
          <t>Jul 2020</t>
        </is>
      </c>
      <c r="C13" s="12" t="n">
        <v>44043</v>
      </c>
      <c r="D13" s="26" t="n">
        <v>0.022</v>
      </c>
      <c r="E13" s="27">
        <f>1+D13</f>
        <v/>
      </c>
      <c r="F13" s="28">
        <f>F12*E13</f>
        <v/>
      </c>
      <c r="G13" s="14">
        <f>(F13-1)</f>
        <v/>
      </c>
      <c r="H13" s="14">
        <f>PRODUCT(E$7:E13)-1</f>
        <v/>
      </c>
    </row>
    <row r="14">
      <c r="A14" s="5" t="n">
        <v>8</v>
      </c>
      <c r="B14" s="5" t="inlineStr">
        <is>
          <t>Aug 2020</t>
        </is>
      </c>
      <c r="C14" s="12" t="n">
        <v>44074</v>
      </c>
      <c r="D14" s="26" t="n">
        <v>0.018</v>
      </c>
      <c r="E14" s="27">
        <f>1+D14</f>
        <v/>
      </c>
      <c r="F14" s="28">
        <f>F13*E14</f>
        <v/>
      </c>
      <c r="G14" s="14">
        <f>(F14-1)</f>
        <v/>
      </c>
      <c r="H14" s="14">
        <f>PRODUCT(E$7:E14)-1</f>
        <v/>
      </c>
    </row>
    <row r="15">
      <c r="A15" s="5" t="n">
        <v>9</v>
      </c>
      <c r="B15" s="5" t="inlineStr">
        <is>
          <t>Sep 2020</t>
        </is>
      </c>
      <c r="C15" s="12" t="n">
        <v>44104</v>
      </c>
      <c r="D15" s="26" t="n">
        <v>-0.012</v>
      </c>
      <c r="E15" s="27">
        <f>1+D15</f>
        <v/>
      </c>
      <c r="F15" s="28">
        <f>F14*E15</f>
        <v/>
      </c>
      <c r="G15" s="14">
        <f>(F15-1)</f>
        <v/>
      </c>
      <c r="H15" s="14">
        <f>PRODUCT(E$7:E15)-1</f>
        <v/>
      </c>
    </row>
    <row r="16">
      <c r="A16" s="5" t="n">
        <v>10</v>
      </c>
      <c r="B16" s="5" t="inlineStr">
        <is>
          <t>Oct 2020</t>
        </is>
      </c>
      <c r="C16" s="12" t="n">
        <v>44135</v>
      </c>
      <c r="D16" s="26" t="n">
        <v>0.025</v>
      </c>
      <c r="E16" s="27">
        <f>1+D16</f>
        <v/>
      </c>
      <c r="F16" s="28">
        <f>F15*E16</f>
        <v/>
      </c>
      <c r="G16" s="14">
        <f>(F16-1)</f>
        <v/>
      </c>
      <c r="H16" s="14">
        <f>PRODUCT(E$7:E16)-1</f>
        <v/>
      </c>
    </row>
    <row r="17">
      <c r="A17" s="5" t="n">
        <v>11</v>
      </c>
      <c r="B17" s="5" t="inlineStr">
        <is>
          <t>Nov 2020</t>
        </is>
      </c>
      <c r="C17" s="12" t="n">
        <v>44165</v>
      </c>
      <c r="D17" s="26" t="n">
        <v>0.032</v>
      </c>
      <c r="E17" s="27">
        <f>1+D17</f>
        <v/>
      </c>
      <c r="F17" s="28">
        <f>F16*E17</f>
        <v/>
      </c>
      <c r="G17" s="14">
        <f>(F17-1)</f>
        <v/>
      </c>
      <c r="H17" s="14">
        <f>PRODUCT(E$7:E17)-1</f>
        <v/>
      </c>
    </row>
    <row r="18">
      <c r="A18" s="5" t="n">
        <v>12</v>
      </c>
      <c r="B18" s="5" t="inlineStr">
        <is>
          <t>Dec 2020</t>
        </is>
      </c>
      <c r="C18" s="12" t="n">
        <v>44196</v>
      </c>
      <c r="D18" s="26" t="n">
        <v>0.008</v>
      </c>
      <c r="E18" s="27">
        <f>1+D18</f>
        <v/>
      </c>
      <c r="F18" s="28">
        <f>F17*E18</f>
        <v/>
      </c>
      <c r="G18" s="14">
        <f>(F18-1)</f>
        <v/>
      </c>
      <c r="H18" s="14">
        <f>PRODUCT(E$7:E18)-1</f>
        <v/>
      </c>
    </row>
    <row r="19">
      <c r="A19" s="5" t="n">
        <v>13</v>
      </c>
      <c r="B19" s="5" t="inlineStr">
        <is>
          <t>Jan 2021</t>
        </is>
      </c>
      <c r="C19" s="12" t="n">
        <v>44227</v>
      </c>
      <c r="D19" s="26" t="n">
        <v>0.018</v>
      </c>
      <c r="E19" s="27">
        <f>1+D19</f>
        <v/>
      </c>
      <c r="F19" s="28">
        <f>F18*E19</f>
        <v/>
      </c>
      <c r="G19" s="14">
        <f>(F19-1)</f>
        <v/>
      </c>
      <c r="H19" s="14">
        <f>PRODUCT(E$7:E19)-1</f>
        <v/>
      </c>
    </row>
    <row r="20">
      <c r="A20" s="5" t="n">
        <v>14</v>
      </c>
      <c r="B20" s="5" t="inlineStr">
        <is>
          <t>Feb 2021</t>
        </is>
      </c>
      <c r="C20" s="12" t="n">
        <v>44255</v>
      </c>
      <c r="D20" s="26" t="n">
        <v>0.022</v>
      </c>
      <c r="E20" s="27">
        <f>1+D20</f>
        <v/>
      </c>
      <c r="F20" s="28">
        <f>F19*E20</f>
        <v/>
      </c>
      <c r="G20" s="14">
        <f>(F20-1)</f>
        <v/>
      </c>
      <c r="H20" s="14">
        <f>PRODUCT(E$7:E20)-1</f>
        <v/>
      </c>
    </row>
    <row r="21">
      <c r="A21" s="5" t="n">
        <v>15</v>
      </c>
      <c r="B21" s="5" t="inlineStr">
        <is>
          <t>Mar 2021</t>
        </is>
      </c>
      <c r="C21" s="12" t="n">
        <v>44286</v>
      </c>
      <c r="D21" s="26" t="n">
        <v>0.015</v>
      </c>
      <c r="E21" s="27">
        <f>1+D21</f>
        <v/>
      </c>
      <c r="F21" s="28">
        <f>F20*E21</f>
        <v/>
      </c>
      <c r="G21" s="14">
        <f>(F21-1)</f>
        <v/>
      </c>
      <c r="H21" s="14">
        <f>PRODUCT(E$7:E21)-1</f>
        <v/>
      </c>
    </row>
    <row r="22">
      <c r="A22" s="5" t="n">
        <v>16</v>
      </c>
      <c r="B22" s="5" t="inlineStr">
        <is>
          <t>Apr 2021</t>
        </is>
      </c>
      <c r="C22" s="12" t="n">
        <v>44316</v>
      </c>
      <c r="D22" s="26" t="n">
        <v>0.028</v>
      </c>
      <c r="E22" s="27">
        <f>1+D22</f>
        <v/>
      </c>
      <c r="F22" s="28">
        <f>F21*E22</f>
        <v/>
      </c>
      <c r="G22" s="14">
        <f>(F22-1)</f>
        <v/>
      </c>
      <c r="H22" s="14">
        <f>PRODUCT(E$7:E22)-1</f>
        <v/>
      </c>
    </row>
    <row r="23">
      <c r="A23" s="5" t="n">
        <v>17</v>
      </c>
      <c r="B23" s="5" t="inlineStr">
        <is>
          <t>May 2021</t>
        </is>
      </c>
      <c r="C23" s="12" t="n">
        <v>44347</v>
      </c>
      <c r="D23" s="26" t="n">
        <v>-0.008</v>
      </c>
      <c r="E23" s="27">
        <f>1+D23</f>
        <v/>
      </c>
      <c r="F23" s="28">
        <f>F22*E23</f>
        <v/>
      </c>
      <c r="G23" s="14">
        <f>(F23-1)</f>
        <v/>
      </c>
      <c r="H23" s="14">
        <f>PRODUCT(E$7:E23)-1</f>
        <v/>
      </c>
    </row>
    <row r="24">
      <c r="A24" s="5" t="n">
        <v>18</v>
      </c>
      <c r="B24" s="5" t="inlineStr">
        <is>
          <t>Jun 2021</t>
        </is>
      </c>
      <c r="C24" s="12" t="n">
        <v>44377</v>
      </c>
      <c r="D24" s="26" t="n">
        <v>0.032</v>
      </c>
      <c r="E24" s="27">
        <f>1+D24</f>
        <v/>
      </c>
      <c r="F24" s="28">
        <f>F23*E24</f>
        <v/>
      </c>
      <c r="G24" s="14">
        <f>(F24-1)</f>
        <v/>
      </c>
      <c r="H24" s="14">
        <f>PRODUCT(E$7:E24)-1</f>
        <v/>
      </c>
    </row>
    <row r="25">
      <c r="A25" s="5" t="n">
        <v>19</v>
      </c>
      <c r="B25" s="5" t="inlineStr">
        <is>
          <t>Jul 2021</t>
        </is>
      </c>
      <c r="C25" s="12" t="n">
        <v>44408</v>
      </c>
      <c r="D25" s="26" t="n">
        <v>0.012</v>
      </c>
      <c r="E25" s="27">
        <f>1+D25</f>
        <v/>
      </c>
      <c r="F25" s="28">
        <f>F24*E25</f>
        <v/>
      </c>
      <c r="G25" s="14">
        <f>(F25-1)</f>
        <v/>
      </c>
      <c r="H25" s="14">
        <f>PRODUCT(E$7:E25)-1</f>
        <v/>
      </c>
    </row>
    <row r="26">
      <c r="A26" s="5" t="n">
        <v>20</v>
      </c>
      <c r="B26" s="5" t="inlineStr">
        <is>
          <t>Aug 2021</t>
        </is>
      </c>
      <c r="C26" s="12" t="n">
        <v>44439</v>
      </c>
      <c r="D26" s="26" t="n">
        <v>0.025</v>
      </c>
      <c r="E26" s="27">
        <f>1+D26</f>
        <v/>
      </c>
      <c r="F26" s="28">
        <f>F25*E26</f>
        <v/>
      </c>
      <c r="G26" s="14">
        <f>(F26-1)</f>
        <v/>
      </c>
      <c r="H26" s="14">
        <f>PRODUCT(E$7:E26)-1</f>
        <v/>
      </c>
    </row>
    <row r="27">
      <c r="A27" s="5" t="n">
        <v>21</v>
      </c>
      <c r="B27" s="5" t="inlineStr">
        <is>
          <t>Sep 2021</t>
        </is>
      </c>
      <c r="C27" s="12" t="n">
        <v>44469</v>
      </c>
      <c r="D27" s="26" t="n">
        <v>-0.015</v>
      </c>
      <c r="E27" s="27">
        <f>1+D27</f>
        <v/>
      </c>
      <c r="F27" s="28">
        <f>F26*E27</f>
        <v/>
      </c>
      <c r="G27" s="14">
        <f>(F27-1)</f>
        <v/>
      </c>
      <c r="H27" s="14">
        <f>PRODUCT(E$7:E27)-1</f>
        <v/>
      </c>
    </row>
    <row r="28">
      <c r="A28" s="5" t="n">
        <v>22</v>
      </c>
      <c r="B28" s="5" t="inlineStr">
        <is>
          <t>Oct 2021</t>
        </is>
      </c>
      <c r="C28" s="12" t="n">
        <v>44500</v>
      </c>
      <c r="D28" s="26" t="n">
        <v>0.038</v>
      </c>
      <c r="E28" s="27">
        <f>1+D28</f>
        <v/>
      </c>
      <c r="F28" s="28">
        <f>F27*E28</f>
        <v/>
      </c>
      <c r="G28" s="14">
        <f>(F28-1)</f>
        <v/>
      </c>
      <c r="H28" s="14">
        <f>PRODUCT(E$7:E28)-1</f>
        <v/>
      </c>
    </row>
    <row r="29">
      <c r="A29" s="5" t="n">
        <v>23</v>
      </c>
      <c r="B29" s="5" t="inlineStr">
        <is>
          <t>Nov 2021</t>
        </is>
      </c>
      <c r="C29" s="12" t="n">
        <v>44530</v>
      </c>
      <c r="D29" s="26" t="n">
        <v>0.022</v>
      </c>
      <c r="E29" s="27">
        <f>1+D29</f>
        <v/>
      </c>
      <c r="F29" s="28">
        <f>F28*E29</f>
        <v/>
      </c>
      <c r="G29" s="14">
        <f>(F29-1)</f>
        <v/>
      </c>
      <c r="H29" s="14">
        <f>PRODUCT(E$7:E29)-1</f>
        <v/>
      </c>
    </row>
    <row r="30">
      <c r="A30" s="5" t="n">
        <v>24</v>
      </c>
      <c r="B30" s="5" t="inlineStr">
        <is>
          <t>Dec 2021</t>
        </is>
      </c>
      <c r="C30" s="12" t="n">
        <v>44561</v>
      </c>
      <c r="D30" s="26" t="n">
        <v>0.015</v>
      </c>
      <c r="E30" s="27">
        <f>1+D30</f>
        <v/>
      </c>
      <c r="F30" s="28">
        <f>F29*E30</f>
        <v/>
      </c>
      <c r="G30" s="14">
        <f>(F30-1)</f>
        <v/>
      </c>
      <c r="H30" s="14">
        <f>PRODUCT(E$7:E30)-1</f>
        <v/>
      </c>
    </row>
    <row r="31">
      <c r="A31" s="5" t="n">
        <v>25</v>
      </c>
      <c r="B31" s="5" t="inlineStr">
        <is>
          <t>Jan 2022</t>
        </is>
      </c>
      <c r="C31" s="12" t="n">
        <v>44592</v>
      </c>
      <c r="D31" s="26" t="n">
        <v>-0.025</v>
      </c>
      <c r="E31" s="27">
        <f>1+D31</f>
        <v/>
      </c>
      <c r="F31" s="28">
        <f>F30*E31</f>
        <v/>
      </c>
      <c r="G31" s="14">
        <f>(F31-1)</f>
        <v/>
      </c>
      <c r="H31" s="14">
        <f>PRODUCT(E$7:E31)-1</f>
        <v/>
      </c>
    </row>
    <row r="32">
      <c r="A32" s="5" t="n">
        <v>26</v>
      </c>
      <c r="B32" s="5" t="inlineStr">
        <is>
          <t>Feb 2022</t>
        </is>
      </c>
      <c r="C32" s="12" t="n">
        <v>44620</v>
      </c>
      <c r="D32" s="26" t="n">
        <v>-0.018</v>
      </c>
      <c r="E32" s="27">
        <f>1+D32</f>
        <v/>
      </c>
      <c r="F32" s="28">
        <f>F31*E32</f>
        <v/>
      </c>
      <c r="G32" s="14">
        <f>(F32-1)</f>
        <v/>
      </c>
      <c r="H32" s="14">
        <f>PRODUCT(E$7:E32)-1</f>
        <v/>
      </c>
    </row>
    <row r="33">
      <c r="A33" s="5" t="n">
        <v>27</v>
      </c>
      <c r="B33" s="5" t="inlineStr">
        <is>
          <t>Mar 2022</t>
        </is>
      </c>
      <c r="C33" s="12" t="n">
        <v>44651</v>
      </c>
      <c r="D33" s="26" t="n">
        <v>0.012</v>
      </c>
      <c r="E33" s="27">
        <f>1+D33</f>
        <v/>
      </c>
      <c r="F33" s="28">
        <f>F32*E33</f>
        <v/>
      </c>
      <c r="G33" s="14">
        <f>(F33-1)</f>
        <v/>
      </c>
      <c r="H33" s="14">
        <f>PRODUCT(E$7:E33)-1</f>
        <v/>
      </c>
    </row>
    <row r="34">
      <c r="A34" s="5" t="n">
        <v>28</v>
      </c>
      <c r="B34" s="5" t="inlineStr">
        <is>
          <t>Apr 2022</t>
        </is>
      </c>
      <c r="C34" s="12" t="n">
        <v>44681</v>
      </c>
      <c r="D34" s="26" t="n">
        <v>-0.032</v>
      </c>
      <c r="E34" s="27">
        <f>1+D34</f>
        <v/>
      </c>
      <c r="F34" s="28">
        <f>F33*E34</f>
        <v/>
      </c>
      <c r="G34" s="14">
        <f>(F34-1)</f>
        <v/>
      </c>
      <c r="H34" s="14">
        <f>PRODUCT(E$7:E34)-1</f>
        <v/>
      </c>
    </row>
    <row r="35">
      <c r="A35" s="5" t="n">
        <v>29</v>
      </c>
      <c r="B35" s="5" t="inlineStr">
        <is>
          <t>May 2022</t>
        </is>
      </c>
      <c r="C35" s="12" t="n">
        <v>44712</v>
      </c>
      <c r="D35" s="26" t="n">
        <v>-0.015</v>
      </c>
      <c r="E35" s="27">
        <f>1+D35</f>
        <v/>
      </c>
      <c r="F35" s="28">
        <f>F34*E35</f>
        <v/>
      </c>
      <c r="G35" s="14">
        <f>(F35-1)</f>
        <v/>
      </c>
      <c r="H35" s="14">
        <f>PRODUCT(E$7:E35)-1</f>
        <v/>
      </c>
    </row>
    <row r="36">
      <c r="A36" s="5" t="n">
        <v>30</v>
      </c>
      <c r="B36" s="5" t="inlineStr">
        <is>
          <t>Jun 2022</t>
        </is>
      </c>
      <c r="C36" s="12" t="n">
        <v>44742</v>
      </c>
      <c r="D36" s="26" t="n">
        <v>-0.022</v>
      </c>
      <c r="E36" s="27">
        <f>1+D36</f>
        <v/>
      </c>
      <c r="F36" s="28">
        <f>F35*E36</f>
        <v/>
      </c>
      <c r="G36" s="14">
        <f>(F36-1)</f>
        <v/>
      </c>
      <c r="H36" s="14">
        <f>PRODUCT(E$7:E36)-1</f>
        <v/>
      </c>
    </row>
    <row r="37">
      <c r="A37" s="5" t="n">
        <v>31</v>
      </c>
      <c r="B37" s="5" t="inlineStr">
        <is>
          <t>Jul 2022</t>
        </is>
      </c>
      <c r="C37" s="12" t="n">
        <v>44773</v>
      </c>
      <c r="D37" s="26" t="n">
        <v>0.018</v>
      </c>
      <c r="E37" s="27">
        <f>1+D37</f>
        <v/>
      </c>
      <c r="F37" s="28">
        <f>F36*E37</f>
        <v/>
      </c>
      <c r="G37" s="14">
        <f>(F37-1)</f>
        <v/>
      </c>
      <c r="H37" s="14">
        <f>PRODUCT(E$7:E37)-1</f>
        <v/>
      </c>
    </row>
    <row r="38">
      <c r="A38" s="5" t="n">
        <v>32</v>
      </c>
      <c r="B38" s="5" t="inlineStr">
        <is>
          <t>Aug 2022</t>
        </is>
      </c>
      <c r="C38" s="12" t="n">
        <v>44804</v>
      </c>
      <c r="D38" s="26" t="n">
        <v>0.008</v>
      </c>
      <c r="E38" s="27">
        <f>1+D38</f>
        <v/>
      </c>
      <c r="F38" s="28">
        <f>F37*E38</f>
        <v/>
      </c>
      <c r="G38" s="14">
        <f>(F38-1)</f>
        <v/>
      </c>
      <c r="H38" s="14">
        <f>PRODUCT(E$7:E38)-1</f>
        <v/>
      </c>
    </row>
    <row r="39">
      <c r="A39" s="5" t="n">
        <v>33</v>
      </c>
      <c r="B39" s="5" t="inlineStr">
        <is>
          <t>Sep 2022</t>
        </is>
      </c>
      <c r="C39" s="12" t="n">
        <v>44834</v>
      </c>
      <c r="D39" s="26" t="n">
        <v>-0.028</v>
      </c>
      <c r="E39" s="27">
        <f>1+D39</f>
        <v/>
      </c>
      <c r="F39" s="28">
        <f>F38*E39</f>
        <v/>
      </c>
      <c r="G39" s="14">
        <f>(F39-1)</f>
        <v/>
      </c>
      <c r="H39" s="14">
        <f>PRODUCT(E$7:E39)-1</f>
        <v/>
      </c>
    </row>
    <row r="40">
      <c r="A40" s="5" t="n">
        <v>34</v>
      </c>
      <c r="B40" s="5" t="inlineStr">
        <is>
          <t>Oct 2022</t>
        </is>
      </c>
      <c r="C40" s="12" t="n">
        <v>44865</v>
      </c>
      <c r="D40" s="26" t="n">
        <v>0.015</v>
      </c>
      <c r="E40" s="27">
        <f>1+D40</f>
        <v/>
      </c>
      <c r="F40" s="28">
        <f>F39*E40</f>
        <v/>
      </c>
      <c r="G40" s="14">
        <f>(F40-1)</f>
        <v/>
      </c>
      <c r="H40" s="14">
        <f>PRODUCT(E$7:E40)-1</f>
        <v/>
      </c>
    </row>
    <row r="41">
      <c r="A41" s="5" t="n">
        <v>35</v>
      </c>
      <c r="B41" s="5" t="inlineStr">
        <is>
          <t>Nov 2022</t>
        </is>
      </c>
      <c r="C41" s="12" t="n">
        <v>44895</v>
      </c>
      <c r="D41" s="26" t="n">
        <v>0.022</v>
      </c>
      <c r="E41" s="27">
        <f>1+D41</f>
        <v/>
      </c>
      <c r="F41" s="28">
        <f>F40*E41</f>
        <v/>
      </c>
      <c r="G41" s="14">
        <f>(F41-1)</f>
        <v/>
      </c>
      <c r="H41" s="14">
        <f>PRODUCT(E$7:E41)-1</f>
        <v/>
      </c>
    </row>
    <row r="42">
      <c r="A42" s="5" t="n">
        <v>36</v>
      </c>
      <c r="B42" s="5" t="inlineStr">
        <is>
          <t>Dec 2022</t>
        </is>
      </c>
      <c r="C42" s="12" t="n">
        <v>44926</v>
      </c>
      <c r="D42" s="26" t="n">
        <v>-0.012</v>
      </c>
      <c r="E42" s="27">
        <f>1+D42</f>
        <v/>
      </c>
      <c r="F42" s="28">
        <f>F41*E42</f>
        <v/>
      </c>
      <c r="G42" s="14">
        <f>(F42-1)</f>
        <v/>
      </c>
      <c r="H42" s="14">
        <f>PRODUCT(E$7:E42)-1</f>
        <v/>
      </c>
    </row>
    <row r="43">
      <c r="A43" s="5" t="n">
        <v>37</v>
      </c>
      <c r="B43" s="5" t="inlineStr">
        <is>
          <t>Jan 2023</t>
        </is>
      </c>
      <c r="C43" s="12" t="n">
        <v>44957</v>
      </c>
      <c r="D43" s="26" t="n">
        <v>0.028</v>
      </c>
      <c r="E43" s="27">
        <f>1+D43</f>
        <v/>
      </c>
      <c r="F43" s="28">
        <f>F42*E43</f>
        <v/>
      </c>
      <c r="G43" s="14">
        <f>(F43-1)</f>
        <v/>
      </c>
      <c r="H43" s="14">
        <f>PRODUCT(E$7:E43)-1</f>
        <v/>
      </c>
    </row>
    <row r="44">
      <c r="A44" s="5" t="n">
        <v>38</v>
      </c>
      <c r="B44" s="5" t="inlineStr">
        <is>
          <t>Feb 2023</t>
        </is>
      </c>
      <c r="C44" s="12" t="n">
        <v>44985</v>
      </c>
      <c r="D44" s="26" t="n">
        <v>0.015</v>
      </c>
      <c r="E44" s="27">
        <f>1+D44</f>
        <v/>
      </c>
      <c r="F44" s="28">
        <f>F43*E44</f>
        <v/>
      </c>
      <c r="G44" s="14">
        <f>(F44-1)</f>
        <v/>
      </c>
      <c r="H44" s="14">
        <f>PRODUCT(E$7:E44)-1</f>
        <v/>
      </c>
    </row>
    <row r="45">
      <c r="A45" s="5" t="n">
        <v>39</v>
      </c>
      <c r="B45" s="5" t="inlineStr">
        <is>
          <t>Mar 2023</t>
        </is>
      </c>
      <c r="C45" s="12" t="n">
        <v>45016</v>
      </c>
      <c r="D45" s="26" t="n">
        <v>0.022</v>
      </c>
      <c r="E45" s="27">
        <f>1+D45</f>
        <v/>
      </c>
      <c r="F45" s="28">
        <f>F44*E45</f>
        <v/>
      </c>
      <c r="G45" s="14">
        <f>(F45-1)</f>
        <v/>
      </c>
      <c r="H45" s="14">
        <f>PRODUCT(E$7:E45)-1</f>
        <v/>
      </c>
    </row>
    <row r="46">
      <c r="A46" s="5" t="n">
        <v>40</v>
      </c>
      <c r="B46" s="5" t="inlineStr">
        <is>
          <t>Apr 2023</t>
        </is>
      </c>
      <c r="C46" s="12" t="n">
        <v>45046</v>
      </c>
      <c r="D46" s="26" t="n">
        <v>-0.008</v>
      </c>
      <c r="E46" s="27">
        <f>1+D46</f>
        <v/>
      </c>
      <c r="F46" s="28">
        <f>F45*E46</f>
        <v/>
      </c>
      <c r="G46" s="14">
        <f>(F46-1)</f>
        <v/>
      </c>
      <c r="H46" s="14">
        <f>PRODUCT(E$7:E46)-1</f>
        <v/>
      </c>
    </row>
    <row r="47">
      <c r="A47" s="5" t="n">
        <v>41</v>
      </c>
      <c r="B47" s="5" t="inlineStr">
        <is>
          <t>May 2023</t>
        </is>
      </c>
      <c r="C47" s="12" t="n">
        <v>45077</v>
      </c>
      <c r="D47" s="26" t="n">
        <v>0.032</v>
      </c>
      <c r="E47" s="27">
        <f>1+D47</f>
        <v/>
      </c>
      <c r="F47" s="28">
        <f>F46*E47</f>
        <v/>
      </c>
      <c r="G47" s="14">
        <f>(F47-1)</f>
        <v/>
      </c>
      <c r="H47" s="14">
        <f>PRODUCT(E$7:E47)-1</f>
        <v/>
      </c>
    </row>
    <row r="48">
      <c r="A48" s="5" t="n">
        <v>42</v>
      </c>
      <c r="B48" s="5" t="inlineStr">
        <is>
          <t>Jun 2023</t>
        </is>
      </c>
      <c r="C48" s="12" t="n">
        <v>45107</v>
      </c>
      <c r="D48" s="26" t="n">
        <v>0.018</v>
      </c>
      <c r="E48" s="27">
        <f>1+D48</f>
        <v/>
      </c>
      <c r="F48" s="28">
        <f>F47*E48</f>
        <v/>
      </c>
      <c r="G48" s="14">
        <f>(F48-1)</f>
        <v/>
      </c>
      <c r="H48" s="14">
        <f>PRODUCT(E$7:E48)-1</f>
        <v/>
      </c>
    </row>
    <row r="49">
      <c r="A49" s="5" t="n">
        <v>43</v>
      </c>
      <c r="B49" s="5" t="inlineStr">
        <is>
          <t>Jul 2023</t>
        </is>
      </c>
      <c r="C49" s="12" t="n">
        <v>45138</v>
      </c>
      <c r="D49" s="26" t="n">
        <v>0.025</v>
      </c>
      <c r="E49" s="27">
        <f>1+D49</f>
        <v/>
      </c>
      <c r="F49" s="28">
        <f>F48*E49</f>
        <v/>
      </c>
      <c r="G49" s="14">
        <f>(F49-1)</f>
        <v/>
      </c>
      <c r="H49" s="14">
        <f>PRODUCT(E$7:E49)-1</f>
        <v/>
      </c>
    </row>
    <row r="50">
      <c r="A50" s="5" t="n">
        <v>44</v>
      </c>
      <c r="B50" s="5" t="inlineStr">
        <is>
          <t>Aug 2023</t>
        </is>
      </c>
      <c r="C50" s="12" t="n">
        <v>45169</v>
      </c>
      <c r="D50" s="26" t="n">
        <v>-0.012</v>
      </c>
      <c r="E50" s="27">
        <f>1+D50</f>
        <v/>
      </c>
      <c r="F50" s="28">
        <f>F49*E50</f>
        <v/>
      </c>
      <c r="G50" s="14">
        <f>(F50-1)</f>
        <v/>
      </c>
      <c r="H50" s="14">
        <f>PRODUCT(E$7:E50)-1</f>
        <v/>
      </c>
    </row>
    <row r="51">
      <c r="A51" s="5" t="n">
        <v>45</v>
      </c>
      <c r="B51" s="5" t="inlineStr">
        <is>
          <t>Sep 2023</t>
        </is>
      </c>
      <c r="C51" s="12" t="n">
        <v>45199</v>
      </c>
      <c r="D51" s="26" t="n">
        <v>0.015</v>
      </c>
      <c r="E51" s="27">
        <f>1+D51</f>
        <v/>
      </c>
      <c r="F51" s="28">
        <f>F50*E51</f>
        <v/>
      </c>
      <c r="G51" s="14">
        <f>(F51-1)</f>
        <v/>
      </c>
      <c r="H51" s="14">
        <f>PRODUCT(E$7:E51)-1</f>
        <v/>
      </c>
    </row>
    <row r="52">
      <c r="A52" s="5" t="n">
        <v>46</v>
      </c>
      <c r="B52" s="5" t="inlineStr">
        <is>
          <t>Oct 2023</t>
        </is>
      </c>
      <c r="C52" s="12" t="n">
        <v>45230</v>
      </c>
      <c r="D52" s="26" t="n">
        <v>0.028</v>
      </c>
      <c r="E52" s="27">
        <f>1+D52</f>
        <v/>
      </c>
      <c r="F52" s="28">
        <f>F51*E52</f>
        <v/>
      </c>
      <c r="G52" s="14">
        <f>(F52-1)</f>
        <v/>
      </c>
      <c r="H52" s="14">
        <f>PRODUCT(E$7:E52)-1</f>
        <v/>
      </c>
    </row>
    <row r="53">
      <c r="A53" s="5" t="n">
        <v>47</v>
      </c>
      <c r="B53" s="5" t="inlineStr">
        <is>
          <t>Nov 2023</t>
        </is>
      </c>
      <c r="C53" s="12" t="n">
        <v>45260</v>
      </c>
      <c r="D53" s="26" t="n">
        <v>0.022</v>
      </c>
      <c r="E53" s="27">
        <f>1+D53</f>
        <v/>
      </c>
      <c r="F53" s="28">
        <f>F52*E53</f>
        <v/>
      </c>
      <c r="G53" s="14">
        <f>(F53-1)</f>
        <v/>
      </c>
      <c r="H53" s="14">
        <f>PRODUCT(E$7:E53)-1</f>
        <v/>
      </c>
    </row>
    <row r="54">
      <c r="A54" s="5" t="n">
        <v>48</v>
      </c>
      <c r="B54" s="5" t="inlineStr">
        <is>
          <t>Dec 2023</t>
        </is>
      </c>
      <c r="C54" s="12" t="n">
        <v>45291</v>
      </c>
      <c r="D54" s="26" t="n">
        <v>0.018</v>
      </c>
      <c r="E54" s="27">
        <f>1+D54</f>
        <v/>
      </c>
      <c r="F54" s="28">
        <f>F53*E54</f>
        <v/>
      </c>
      <c r="G54" s="14">
        <f>(F54-1)</f>
        <v/>
      </c>
      <c r="H54" s="14">
        <f>PRODUCT(E$7:E54)-1</f>
        <v/>
      </c>
    </row>
    <row r="55">
      <c r="A55" s="5" t="n">
        <v>49</v>
      </c>
      <c r="B55" s="5" t="inlineStr">
        <is>
          <t>Jan 2024</t>
        </is>
      </c>
      <c r="C55" s="12" t="n">
        <v>45322</v>
      </c>
      <c r="D55" s="26" t="n">
        <v>0.022</v>
      </c>
      <c r="E55" s="27">
        <f>1+D55</f>
        <v/>
      </c>
      <c r="F55" s="28">
        <f>F54*E55</f>
        <v/>
      </c>
      <c r="G55" s="14">
        <f>(F55-1)</f>
        <v/>
      </c>
      <c r="H55" s="14">
        <f>PRODUCT(E$7:E55)-1</f>
        <v/>
      </c>
    </row>
    <row r="56">
      <c r="A56" s="5" t="n">
        <v>50</v>
      </c>
      <c r="B56" s="5" t="inlineStr">
        <is>
          <t>Feb 2024</t>
        </is>
      </c>
      <c r="C56" s="12" t="n">
        <v>45351</v>
      </c>
      <c r="D56" s="26" t="n">
        <v>0.015</v>
      </c>
      <c r="E56" s="27">
        <f>1+D56</f>
        <v/>
      </c>
      <c r="F56" s="28">
        <f>F55*E56</f>
        <v/>
      </c>
      <c r="G56" s="14">
        <f>(F56-1)</f>
        <v/>
      </c>
      <c r="H56" s="14">
        <f>PRODUCT(E$7:E56)-1</f>
        <v/>
      </c>
    </row>
    <row r="57">
      <c r="A57" s="5" t="n">
        <v>51</v>
      </c>
      <c r="B57" s="5" t="inlineStr">
        <is>
          <t>Mar 2024</t>
        </is>
      </c>
      <c r="C57" s="12" t="n">
        <v>45382</v>
      </c>
      <c r="D57" s="26" t="n">
        <v>0.028</v>
      </c>
      <c r="E57" s="27">
        <f>1+D57</f>
        <v/>
      </c>
      <c r="F57" s="28">
        <f>F56*E57</f>
        <v/>
      </c>
      <c r="G57" s="14">
        <f>(F57-1)</f>
        <v/>
      </c>
      <c r="H57" s="14">
        <f>PRODUCT(E$7:E57)-1</f>
        <v/>
      </c>
    </row>
    <row r="58">
      <c r="A58" s="5" t="n">
        <v>52</v>
      </c>
      <c r="B58" s="5" t="inlineStr">
        <is>
          <t>Apr 2024</t>
        </is>
      </c>
      <c r="C58" s="12" t="n">
        <v>45412</v>
      </c>
      <c r="D58" s="26" t="n">
        <v>0.012</v>
      </c>
      <c r="E58" s="27">
        <f>1+D58</f>
        <v/>
      </c>
      <c r="F58" s="28">
        <f>F57*E58</f>
        <v/>
      </c>
      <c r="G58" s="14">
        <f>(F58-1)</f>
        <v/>
      </c>
      <c r="H58" s="14">
        <f>PRODUCT(E$7:E58)-1</f>
        <v/>
      </c>
    </row>
    <row r="59">
      <c r="A59" s="5" t="n">
        <v>53</v>
      </c>
      <c r="B59" s="5" t="inlineStr">
        <is>
          <t>May 2024</t>
        </is>
      </c>
      <c r="C59" s="12" t="n">
        <v>45443</v>
      </c>
      <c r="D59" s="26" t="n">
        <v>-0.008</v>
      </c>
      <c r="E59" s="27">
        <f>1+D59</f>
        <v/>
      </c>
      <c r="F59" s="28">
        <f>F58*E59</f>
        <v/>
      </c>
      <c r="G59" s="14">
        <f>(F59-1)</f>
        <v/>
      </c>
      <c r="H59" s="14">
        <f>PRODUCT(E$7:E59)-1</f>
        <v/>
      </c>
    </row>
    <row r="60">
      <c r="A60" s="5" t="n">
        <v>54</v>
      </c>
      <c r="B60" s="5" t="inlineStr">
        <is>
          <t>Jun 2024</t>
        </is>
      </c>
      <c r="C60" s="12" t="n">
        <v>45473</v>
      </c>
      <c r="D60" s="26" t="n">
        <v>0.025</v>
      </c>
      <c r="E60" s="27">
        <f>1+D60</f>
        <v/>
      </c>
      <c r="F60" s="28">
        <f>F59*E60</f>
        <v/>
      </c>
      <c r="G60" s="14">
        <f>(F60-1)</f>
        <v/>
      </c>
      <c r="H60" s="14">
        <f>PRODUCT(E$7:E60)-1</f>
        <v/>
      </c>
    </row>
    <row r="61">
      <c r="A61" s="5" t="n">
        <v>55</v>
      </c>
      <c r="B61" s="5" t="inlineStr">
        <is>
          <t>Jul 2024</t>
        </is>
      </c>
      <c r="C61" s="12" t="n">
        <v>45504</v>
      </c>
      <c r="D61" s="26" t="n">
        <v>0.018</v>
      </c>
      <c r="E61" s="27">
        <f>1+D61</f>
        <v/>
      </c>
      <c r="F61" s="28">
        <f>F60*E61</f>
        <v/>
      </c>
      <c r="G61" s="14">
        <f>(F61-1)</f>
        <v/>
      </c>
      <c r="H61" s="14">
        <f>PRODUCT(E$7:E61)-1</f>
        <v/>
      </c>
    </row>
    <row r="62">
      <c r="A62" s="5" t="n">
        <v>56</v>
      </c>
      <c r="B62" s="5" t="inlineStr">
        <is>
          <t>Aug 2024</t>
        </is>
      </c>
      <c r="C62" s="12" t="n">
        <v>45535</v>
      </c>
      <c r="D62" s="26" t="n">
        <v>0.022</v>
      </c>
      <c r="E62" s="27">
        <f>1+D62</f>
        <v/>
      </c>
      <c r="F62" s="28">
        <f>F61*E62</f>
        <v/>
      </c>
      <c r="G62" s="14">
        <f>(F62-1)</f>
        <v/>
      </c>
      <c r="H62" s="14">
        <f>PRODUCT(E$7:E62)-1</f>
        <v/>
      </c>
    </row>
    <row r="63">
      <c r="A63" s="5" t="n">
        <v>57</v>
      </c>
      <c r="B63" s="5" t="inlineStr">
        <is>
          <t>Sep 2024</t>
        </is>
      </c>
      <c r="C63" s="12" t="n">
        <v>45565</v>
      </c>
      <c r="D63" s="26" t="n">
        <v>-0.015</v>
      </c>
      <c r="E63" s="27">
        <f>1+D63</f>
        <v/>
      </c>
      <c r="F63" s="28">
        <f>F62*E63</f>
        <v/>
      </c>
      <c r="G63" s="14">
        <f>(F63-1)</f>
        <v/>
      </c>
      <c r="H63" s="14">
        <f>PRODUCT(E$7:E63)-1</f>
        <v/>
      </c>
    </row>
    <row r="64">
      <c r="A64" s="5" t="n">
        <v>58</v>
      </c>
      <c r="B64" s="5" t="inlineStr">
        <is>
          <t>Oct 2024</t>
        </is>
      </c>
      <c r="C64" s="12" t="n">
        <v>45596</v>
      </c>
      <c r="D64" s="26" t="n">
        <v>0.032</v>
      </c>
      <c r="E64" s="27">
        <f>1+D64</f>
        <v/>
      </c>
      <c r="F64" s="28">
        <f>F63*E64</f>
        <v/>
      </c>
      <c r="G64" s="14">
        <f>(F64-1)</f>
        <v/>
      </c>
      <c r="H64" s="14">
        <f>PRODUCT(E$7:E64)-1</f>
        <v/>
      </c>
    </row>
    <row r="65">
      <c r="A65" s="5" t="n">
        <v>59</v>
      </c>
      <c r="B65" s="5" t="inlineStr">
        <is>
          <t>Nov 2024</t>
        </is>
      </c>
      <c r="C65" s="12" t="n">
        <v>45626</v>
      </c>
      <c r="D65" s="26" t="n">
        <v>0.025</v>
      </c>
      <c r="E65" s="27">
        <f>1+D65</f>
        <v/>
      </c>
      <c r="F65" s="28">
        <f>F64*E65</f>
        <v/>
      </c>
      <c r="G65" s="14">
        <f>(F65-1)</f>
        <v/>
      </c>
      <c r="H65" s="14">
        <f>PRODUCT(E$7:E65)-1</f>
        <v/>
      </c>
    </row>
    <row r="66">
      <c r="A66" s="5" t="n">
        <v>60</v>
      </c>
      <c r="B66" s="5" t="inlineStr">
        <is>
          <t>Dec 2024</t>
        </is>
      </c>
      <c r="C66" s="12" t="n">
        <v>45657</v>
      </c>
      <c r="D66" s="26" t="n">
        <v>0.018</v>
      </c>
      <c r="E66" s="27">
        <f>1+D66</f>
        <v/>
      </c>
      <c r="F66" s="28">
        <f>F65*E66</f>
        <v/>
      </c>
      <c r="G66" s="14">
        <f>(F66-1)</f>
        <v/>
      </c>
      <c r="H66" s="14">
        <f>PRODUCT(E$7:E66)-1</f>
        <v/>
      </c>
    </row>
    <row r="67">
      <c r="A67" s="29" t="inlineStr">
        <is>
          <t>FINAL 60-MONTH CUMULATIVE RETURN:</t>
        </is>
      </c>
      <c r="F67" s="30">
        <f>F66</f>
        <v/>
      </c>
      <c r="G67" s="31">
        <f>F66-1</f>
        <v/>
      </c>
    </row>
  </sheetData>
  <mergeCells count="3">
    <mergeCell ref="A67:C67"/>
    <mergeCell ref="A3:H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4" customWidth="1" min="14" max="14"/>
    <col width="12" customWidth="1" min="15" max="15"/>
    <col width="10" customWidth="1" min="16" max="16"/>
    <col width="10" customWidth="1" min="17" max="17"/>
  </cols>
  <sheetData>
    <row r="1">
      <c r="A1" s="3" t="inlineStr">
        <is>
          <t>ANNUAL RETURN CALCULATIONS - GEOMETRIC LINKING</t>
        </is>
      </c>
    </row>
    <row r="3">
      <c r="A3" s="32" t="inlineStr">
        <is>
          <t>Method: Compound 12 monthly returns for each calendar year using: Annual = ∏(1 + Ri_monthly) - 1</t>
        </is>
      </c>
    </row>
    <row r="5">
      <c r="A5" s="8" t="inlineStr">
        <is>
          <t>Year</t>
        </is>
      </c>
      <c r="B5" s="8" t="inlineStr">
        <is>
          <t>Jan</t>
        </is>
      </c>
      <c r="C5" s="8" t="inlineStr">
        <is>
          <t>Feb</t>
        </is>
      </c>
      <c r="D5" s="8" t="inlineStr">
        <is>
          <t>Mar</t>
        </is>
      </c>
      <c r="E5" s="8" t="inlineStr">
        <is>
          <t>Apr</t>
        </is>
      </c>
      <c r="F5" s="8" t="inlineStr">
        <is>
          <t>May</t>
        </is>
      </c>
      <c r="G5" s="8" t="inlineStr">
        <is>
          <t>Jun</t>
        </is>
      </c>
      <c r="H5" s="8" t="inlineStr">
        <is>
          <t>Jul</t>
        </is>
      </c>
      <c r="I5" s="8" t="inlineStr">
        <is>
          <t>Aug</t>
        </is>
      </c>
      <c r="J5" s="8" t="inlineStr">
        <is>
          <t>Sep</t>
        </is>
      </c>
      <c r="K5" s="8" t="inlineStr">
        <is>
          <t>Oct</t>
        </is>
      </c>
      <c r="L5" s="8" t="inlineStr">
        <is>
          <t>Nov</t>
        </is>
      </c>
      <c r="M5" s="8" t="inlineStr">
        <is>
          <t>Dec</t>
        </is>
      </c>
      <c r="N5" s="8" t="inlineStr">
        <is>
          <t>Compound Factor</t>
        </is>
      </c>
      <c r="O5" s="8" t="inlineStr">
        <is>
          <t>Annual Return</t>
        </is>
      </c>
      <c r="P5" s="8" t="inlineStr">
        <is>
          <t>BM Return</t>
        </is>
      </c>
      <c r="Q5" s="8" t="inlineStr">
        <is>
          <t>Excess</t>
        </is>
      </c>
    </row>
    <row r="6">
      <c r="A6" s="33" t="inlineStr">
        <is>
          <t>2020</t>
        </is>
      </c>
      <c r="B6" s="13" t="n">
        <v>0.012</v>
      </c>
      <c r="C6" s="13" t="n">
        <v>0.008</v>
      </c>
      <c r="D6" s="17" t="n">
        <v>-0.035</v>
      </c>
      <c r="E6" s="13" t="n">
        <v>0.045</v>
      </c>
      <c r="F6" s="13" t="n">
        <v>0.028</v>
      </c>
      <c r="G6" s="13" t="n">
        <v>0.015</v>
      </c>
      <c r="H6" s="13" t="n">
        <v>0.022</v>
      </c>
      <c r="I6" s="13" t="n">
        <v>0.018</v>
      </c>
      <c r="J6" s="17" t="n">
        <v>-0.012</v>
      </c>
      <c r="K6" s="13" t="n">
        <v>0.025</v>
      </c>
      <c r="L6" s="13" t="n">
        <v>0.032</v>
      </c>
      <c r="M6" s="13" t="n">
        <v>0.008</v>
      </c>
      <c r="N6" s="28">
        <f>PRODUCT(1+B6:M6)</f>
        <v/>
      </c>
      <c r="O6" s="23">
        <f>N6-1</f>
        <v/>
      </c>
      <c r="P6" s="14" t="n">
        <v>0.07199999999999999</v>
      </c>
      <c r="Q6" s="14">
        <f>O6-P6</f>
        <v/>
      </c>
    </row>
    <row r="7">
      <c r="A7" s="33" t="inlineStr">
        <is>
          <t>2021</t>
        </is>
      </c>
      <c r="B7" s="13" t="n">
        <v>0.018</v>
      </c>
      <c r="C7" s="13" t="n">
        <v>0.022</v>
      </c>
      <c r="D7" s="13" t="n">
        <v>0.015</v>
      </c>
      <c r="E7" s="13" t="n">
        <v>0.028</v>
      </c>
      <c r="F7" s="17" t="n">
        <v>-0.008</v>
      </c>
      <c r="G7" s="13" t="n">
        <v>0.032</v>
      </c>
      <c r="H7" s="13" t="n">
        <v>0.012</v>
      </c>
      <c r="I7" s="13" t="n">
        <v>0.025</v>
      </c>
      <c r="J7" s="17" t="n">
        <v>-0.015</v>
      </c>
      <c r="K7" s="13" t="n">
        <v>0.038</v>
      </c>
      <c r="L7" s="13" t="n">
        <v>0.022</v>
      </c>
      <c r="M7" s="13" t="n">
        <v>0.015</v>
      </c>
      <c r="N7" s="28">
        <f>PRODUCT(1+B7:M7)</f>
        <v/>
      </c>
      <c r="O7" s="23">
        <f>N7-1</f>
        <v/>
      </c>
      <c r="P7" s="14" t="n">
        <v>0.145</v>
      </c>
      <c r="Q7" s="14">
        <f>O7-P7</f>
        <v/>
      </c>
    </row>
    <row r="8">
      <c r="A8" s="33" t="inlineStr">
        <is>
          <t>2022</t>
        </is>
      </c>
      <c r="B8" s="17" t="n">
        <v>-0.025</v>
      </c>
      <c r="C8" s="17" t="n">
        <v>-0.018</v>
      </c>
      <c r="D8" s="13" t="n">
        <v>0.012</v>
      </c>
      <c r="E8" s="17" t="n">
        <v>-0.032</v>
      </c>
      <c r="F8" s="17" t="n">
        <v>-0.015</v>
      </c>
      <c r="G8" s="17" t="n">
        <v>-0.022</v>
      </c>
      <c r="H8" s="13" t="n">
        <v>0.018</v>
      </c>
      <c r="I8" s="13" t="n">
        <v>0.008</v>
      </c>
      <c r="J8" s="17" t="n">
        <v>-0.028</v>
      </c>
      <c r="K8" s="13" t="n">
        <v>0.015</v>
      </c>
      <c r="L8" s="13" t="n">
        <v>0.022</v>
      </c>
      <c r="M8" s="17" t="n">
        <v>-0.012</v>
      </c>
      <c r="N8" s="28">
        <f>PRODUCT(1+B8:M8)</f>
        <v/>
      </c>
      <c r="O8" s="23">
        <f>N8-1</f>
        <v/>
      </c>
      <c r="P8" s="14" t="n">
        <v>-0.058</v>
      </c>
      <c r="Q8" s="14">
        <f>O8-P8</f>
        <v/>
      </c>
    </row>
    <row r="9">
      <c r="A9" s="33" t="inlineStr">
        <is>
          <t>2023</t>
        </is>
      </c>
      <c r="B9" s="13" t="n">
        <v>0.028</v>
      </c>
      <c r="C9" s="13" t="n">
        <v>0.015</v>
      </c>
      <c r="D9" s="13" t="n">
        <v>0.022</v>
      </c>
      <c r="E9" s="17" t="n">
        <v>-0.008</v>
      </c>
      <c r="F9" s="13" t="n">
        <v>0.032</v>
      </c>
      <c r="G9" s="13" t="n">
        <v>0.018</v>
      </c>
      <c r="H9" s="13" t="n">
        <v>0.025</v>
      </c>
      <c r="I9" s="17" t="n">
        <v>-0.012</v>
      </c>
      <c r="J9" s="13" t="n">
        <v>0.015</v>
      </c>
      <c r="K9" s="13" t="n">
        <v>0.028</v>
      </c>
      <c r="L9" s="13" t="n">
        <v>0.022</v>
      </c>
      <c r="M9" s="13" t="n">
        <v>0.018</v>
      </c>
      <c r="N9" s="28">
        <f>PRODUCT(1+B9:M9)</f>
        <v/>
      </c>
      <c r="O9" s="23">
        <f>N9-1</f>
        <v/>
      </c>
      <c r="P9" s="14" t="n">
        <v>0.132</v>
      </c>
      <c r="Q9" s="14">
        <f>O9-P9</f>
        <v/>
      </c>
    </row>
    <row r="10">
      <c r="A10" s="33" t="inlineStr">
        <is>
          <t>2024</t>
        </is>
      </c>
      <c r="B10" s="13" t="n">
        <v>0.022</v>
      </c>
      <c r="C10" s="13" t="n">
        <v>0.015</v>
      </c>
      <c r="D10" s="13" t="n">
        <v>0.028</v>
      </c>
      <c r="E10" s="13" t="n">
        <v>0.012</v>
      </c>
      <c r="F10" s="17" t="n">
        <v>-0.008</v>
      </c>
      <c r="G10" s="13" t="n">
        <v>0.025</v>
      </c>
      <c r="H10" s="13" t="n">
        <v>0.018</v>
      </c>
      <c r="I10" s="13" t="n">
        <v>0.022</v>
      </c>
      <c r="J10" s="17" t="n">
        <v>-0.015</v>
      </c>
      <c r="K10" s="13" t="n">
        <v>0.032</v>
      </c>
      <c r="L10" s="13" t="n">
        <v>0.025</v>
      </c>
      <c r="M10" s="13" t="n">
        <v>0.018</v>
      </c>
      <c r="N10" s="28">
        <f>PRODUCT(1+B10:M10)</f>
        <v/>
      </c>
      <c r="O10" s="23">
        <f>N10-1</f>
        <v/>
      </c>
      <c r="P10" s="14" t="n">
        <v>0.098</v>
      </c>
      <c r="Q10" s="14">
        <f>O10-P10</f>
        <v/>
      </c>
    </row>
    <row r="12">
      <c r="A12" s="34" t="inlineStr">
        <is>
          <t>5-YEAR</t>
        </is>
      </c>
      <c r="N12" s="35">
        <f>PRODUCT(N6:N10)</f>
        <v/>
      </c>
      <c r="O12" s="36">
        <f>N12-1</f>
        <v/>
      </c>
    </row>
    <row r="14">
      <c r="A14" s="21" t="inlineStr">
        <is>
          <t>ANNUALIZED CALCULATIONS</t>
        </is>
      </c>
    </row>
    <row r="15">
      <c r="A15" t="inlineStr">
        <is>
          <t>5-Year Annualized Return:</t>
        </is>
      </c>
      <c r="B15" s="37">
        <f>N12^(1/5)-1</f>
        <v/>
      </c>
    </row>
    <row r="16">
      <c r="A16" t="inlineStr">
        <is>
          <t>Formula Verification:</t>
        </is>
      </c>
      <c r="B16" s="38">
        <f>(1+O12)^(1/5)-1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0" customWidth="1" min="4" max="4"/>
    <col width="14" customWidth="1" min="5" max="5"/>
    <col width="12" customWidth="1" min="6" max="6"/>
    <col width="14" customWidth="1" min="7" max="7"/>
    <col width="14" customWidth="1" min="8" max="8"/>
  </cols>
  <sheetData>
    <row r="1">
      <c r="A1" s="3" t="inlineStr">
        <is>
          <t>GROWTH OF $100 INVESTMENT - MONTHLY TRACKING</t>
        </is>
      </c>
    </row>
    <row r="3">
      <c r="A3" s="39" t="inlineStr">
        <is>
          <t>Starting Investment: $100.00 on January 1, 2020</t>
        </is>
      </c>
    </row>
    <row r="5">
      <c r="A5" s="8" t="inlineStr">
        <is>
          <t>#</t>
        </is>
      </c>
      <c r="B5" s="8" t="inlineStr">
        <is>
          <t>Date</t>
        </is>
      </c>
      <c r="C5" s="8" t="inlineStr">
        <is>
          <t>Month</t>
        </is>
      </c>
      <c r="D5" s="8" t="inlineStr">
        <is>
          <t>Return</t>
        </is>
      </c>
      <c r="E5" s="8" t="inlineStr">
        <is>
          <t>Beginning Value</t>
        </is>
      </c>
      <c r="F5" s="8" t="inlineStr">
        <is>
          <t>Gain/Loss</t>
        </is>
      </c>
      <c r="G5" s="8" t="inlineStr">
        <is>
          <t>Ending Value</t>
        </is>
      </c>
      <c r="H5" s="8" t="inlineStr">
        <is>
          <t>Cumulative Gain</t>
        </is>
      </c>
    </row>
    <row r="6">
      <c r="A6" s="5" t="n">
        <v>0</v>
      </c>
      <c r="B6" s="12" t="n">
        <v>43831</v>
      </c>
      <c r="C6" s="5" t="inlineStr">
        <is>
          <t>Start</t>
        </is>
      </c>
      <c r="D6" s="5" t="inlineStr">
        <is>
          <t>-</t>
        </is>
      </c>
      <c r="E6" s="40" t="n">
        <v>100</v>
      </c>
      <c r="F6" s="5" t="inlineStr">
        <is>
          <t>-</t>
        </is>
      </c>
      <c r="G6" s="40" t="n">
        <v>100</v>
      </c>
      <c r="H6" s="40" t="n">
        <v>0</v>
      </c>
    </row>
    <row r="7">
      <c r="A7" s="5" t="n">
        <v>1</v>
      </c>
      <c r="B7" s="12" t="n">
        <v>43861</v>
      </c>
      <c r="C7" s="5" t="inlineStr">
        <is>
          <t>Jan 2020</t>
        </is>
      </c>
      <c r="D7" s="14" t="n">
        <v>0.012</v>
      </c>
      <c r="E7" s="40">
        <f>G6</f>
        <v/>
      </c>
      <c r="F7" s="41">
        <f>E7*D7</f>
        <v/>
      </c>
      <c r="G7" s="42">
        <f>E7+F7</f>
        <v/>
      </c>
      <c r="H7" s="40">
        <f>G7-100</f>
        <v/>
      </c>
    </row>
    <row r="8">
      <c r="A8" s="5" t="n">
        <v>2</v>
      </c>
      <c r="B8" s="12" t="n">
        <v>43890</v>
      </c>
      <c r="C8" s="5" t="inlineStr">
        <is>
          <t>Feb 2020</t>
        </is>
      </c>
      <c r="D8" s="14" t="n">
        <v>0.008</v>
      </c>
      <c r="E8" s="40">
        <f>G7</f>
        <v/>
      </c>
      <c r="F8" s="41">
        <f>E8*D8</f>
        <v/>
      </c>
      <c r="G8" s="42">
        <f>E8+F8</f>
        <v/>
      </c>
      <c r="H8" s="40">
        <f>G8-100</f>
        <v/>
      </c>
    </row>
    <row r="9">
      <c r="A9" s="5" t="n">
        <v>3</v>
      </c>
      <c r="B9" s="12" t="n">
        <v>43921</v>
      </c>
      <c r="C9" s="5" t="inlineStr">
        <is>
          <t>Mar 2020</t>
        </is>
      </c>
      <c r="D9" s="14" t="n">
        <v>-0.035</v>
      </c>
      <c r="E9" s="40">
        <f>G8</f>
        <v/>
      </c>
      <c r="F9" s="43">
        <f>E9*D9</f>
        <v/>
      </c>
      <c r="G9" s="42">
        <f>E9+F9</f>
        <v/>
      </c>
      <c r="H9" s="40">
        <f>G9-100</f>
        <v/>
      </c>
    </row>
    <row r="10">
      <c r="A10" s="5" t="n">
        <v>4</v>
      </c>
      <c r="B10" s="12" t="n">
        <v>43951</v>
      </c>
      <c r="C10" s="5" t="inlineStr">
        <is>
          <t>Apr 2020</t>
        </is>
      </c>
      <c r="D10" s="14" t="n">
        <v>0.045</v>
      </c>
      <c r="E10" s="40">
        <f>G9</f>
        <v/>
      </c>
      <c r="F10" s="41">
        <f>E10*D10</f>
        <v/>
      </c>
      <c r="G10" s="42">
        <f>E10+F10</f>
        <v/>
      </c>
      <c r="H10" s="40">
        <f>G10-100</f>
        <v/>
      </c>
    </row>
    <row r="11">
      <c r="A11" s="5" t="n">
        <v>5</v>
      </c>
      <c r="B11" s="12" t="n">
        <v>43982</v>
      </c>
      <c r="C11" s="5" t="inlineStr">
        <is>
          <t>May 2020</t>
        </is>
      </c>
      <c r="D11" s="14" t="n">
        <v>0.028</v>
      </c>
      <c r="E11" s="40">
        <f>G10</f>
        <v/>
      </c>
      <c r="F11" s="41">
        <f>E11*D11</f>
        <v/>
      </c>
      <c r="G11" s="42">
        <f>E11+F11</f>
        <v/>
      </c>
      <c r="H11" s="40">
        <f>G11-100</f>
        <v/>
      </c>
    </row>
    <row r="12">
      <c r="A12" s="5" t="n">
        <v>6</v>
      </c>
      <c r="B12" s="12" t="n">
        <v>44012</v>
      </c>
      <c r="C12" s="5" t="inlineStr">
        <is>
          <t>Jun 2020</t>
        </is>
      </c>
      <c r="D12" s="14" t="n">
        <v>0.015</v>
      </c>
      <c r="E12" s="40">
        <f>G11</f>
        <v/>
      </c>
      <c r="F12" s="41">
        <f>E12*D12</f>
        <v/>
      </c>
      <c r="G12" s="42">
        <f>E12+F12</f>
        <v/>
      </c>
      <c r="H12" s="40">
        <f>G12-100</f>
        <v/>
      </c>
    </row>
    <row r="13">
      <c r="A13" s="5" t="n">
        <v>7</v>
      </c>
      <c r="B13" s="12" t="n">
        <v>44043</v>
      </c>
      <c r="C13" s="5" t="inlineStr">
        <is>
          <t>Jul 2020</t>
        </is>
      </c>
      <c r="D13" s="14" t="n">
        <v>0.022</v>
      </c>
      <c r="E13" s="40">
        <f>G12</f>
        <v/>
      </c>
      <c r="F13" s="41">
        <f>E13*D13</f>
        <v/>
      </c>
      <c r="G13" s="42">
        <f>E13+F13</f>
        <v/>
      </c>
      <c r="H13" s="40">
        <f>G13-100</f>
        <v/>
      </c>
    </row>
    <row r="14">
      <c r="A14" s="5" t="n">
        <v>8</v>
      </c>
      <c r="B14" s="12" t="n">
        <v>44074</v>
      </c>
      <c r="C14" s="5" t="inlineStr">
        <is>
          <t>Aug 2020</t>
        </is>
      </c>
      <c r="D14" s="14" t="n">
        <v>0.018</v>
      </c>
      <c r="E14" s="40">
        <f>G13</f>
        <v/>
      </c>
      <c r="F14" s="41">
        <f>E14*D14</f>
        <v/>
      </c>
      <c r="G14" s="42">
        <f>E14+F14</f>
        <v/>
      </c>
      <c r="H14" s="40">
        <f>G14-100</f>
        <v/>
      </c>
    </row>
    <row r="15">
      <c r="A15" s="5" t="n">
        <v>9</v>
      </c>
      <c r="B15" s="12" t="n">
        <v>44104</v>
      </c>
      <c r="C15" s="5" t="inlineStr">
        <is>
          <t>Sep 2020</t>
        </is>
      </c>
      <c r="D15" s="14" t="n">
        <v>-0.012</v>
      </c>
      <c r="E15" s="40">
        <f>G14</f>
        <v/>
      </c>
      <c r="F15" s="43">
        <f>E15*D15</f>
        <v/>
      </c>
      <c r="G15" s="42">
        <f>E15+F15</f>
        <v/>
      </c>
      <c r="H15" s="40">
        <f>G15-100</f>
        <v/>
      </c>
    </row>
    <row r="16">
      <c r="A16" s="5" t="n">
        <v>10</v>
      </c>
      <c r="B16" s="12" t="n">
        <v>44135</v>
      </c>
      <c r="C16" s="5" t="inlineStr">
        <is>
          <t>Oct 2020</t>
        </is>
      </c>
      <c r="D16" s="14" t="n">
        <v>0.025</v>
      </c>
      <c r="E16" s="40">
        <f>G15</f>
        <v/>
      </c>
      <c r="F16" s="41">
        <f>E16*D16</f>
        <v/>
      </c>
      <c r="G16" s="42">
        <f>E16+F16</f>
        <v/>
      </c>
      <c r="H16" s="40">
        <f>G16-100</f>
        <v/>
      </c>
    </row>
    <row r="17">
      <c r="A17" s="5" t="n">
        <v>11</v>
      </c>
      <c r="B17" s="12" t="n">
        <v>44165</v>
      </c>
      <c r="C17" s="5" t="inlineStr">
        <is>
          <t>Nov 2020</t>
        </is>
      </c>
      <c r="D17" s="14" t="n">
        <v>0.032</v>
      </c>
      <c r="E17" s="40">
        <f>G16</f>
        <v/>
      </c>
      <c r="F17" s="41">
        <f>E17*D17</f>
        <v/>
      </c>
      <c r="G17" s="42">
        <f>E17+F17</f>
        <v/>
      </c>
      <c r="H17" s="40">
        <f>G17-100</f>
        <v/>
      </c>
    </row>
    <row r="18">
      <c r="A18" s="5" t="n">
        <v>12</v>
      </c>
      <c r="B18" s="12" t="n">
        <v>44196</v>
      </c>
      <c r="C18" s="5" t="inlineStr">
        <is>
          <t>Dec 2020</t>
        </is>
      </c>
      <c r="D18" s="14" t="n">
        <v>0.008</v>
      </c>
      <c r="E18" s="40">
        <f>G17</f>
        <v/>
      </c>
      <c r="F18" s="41">
        <f>E18*D18</f>
        <v/>
      </c>
      <c r="G18" s="42">
        <f>E18+F18</f>
        <v/>
      </c>
      <c r="H18" s="40">
        <f>G18-100</f>
        <v/>
      </c>
    </row>
    <row r="19">
      <c r="A19" s="5" t="n">
        <v>13</v>
      </c>
      <c r="B19" s="12" t="n">
        <v>44227</v>
      </c>
      <c r="C19" s="5" t="inlineStr">
        <is>
          <t>Jan 2021</t>
        </is>
      </c>
      <c r="D19" s="14" t="n">
        <v>0.018</v>
      </c>
      <c r="E19" s="40">
        <f>G18</f>
        <v/>
      </c>
      <c r="F19" s="41">
        <f>E19*D19</f>
        <v/>
      </c>
      <c r="G19" s="42">
        <f>E19+F19</f>
        <v/>
      </c>
      <c r="H19" s="40">
        <f>G19-100</f>
        <v/>
      </c>
    </row>
    <row r="20">
      <c r="A20" s="5" t="n">
        <v>14</v>
      </c>
      <c r="B20" s="12" t="n">
        <v>44255</v>
      </c>
      <c r="C20" s="5" t="inlineStr">
        <is>
          <t>Feb 2021</t>
        </is>
      </c>
      <c r="D20" s="14" t="n">
        <v>0.022</v>
      </c>
      <c r="E20" s="40">
        <f>G19</f>
        <v/>
      </c>
      <c r="F20" s="41">
        <f>E20*D20</f>
        <v/>
      </c>
      <c r="G20" s="42">
        <f>E20+F20</f>
        <v/>
      </c>
      <c r="H20" s="40">
        <f>G20-100</f>
        <v/>
      </c>
    </row>
    <row r="21">
      <c r="A21" s="5" t="n">
        <v>15</v>
      </c>
      <c r="B21" s="12" t="n">
        <v>44286</v>
      </c>
      <c r="C21" s="5" t="inlineStr">
        <is>
          <t>Mar 2021</t>
        </is>
      </c>
      <c r="D21" s="14" t="n">
        <v>0.015</v>
      </c>
      <c r="E21" s="40">
        <f>G20</f>
        <v/>
      </c>
      <c r="F21" s="41">
        <f>E21*D21</f>
        <v/>
      </c>
      <c r="G21" s="42">
        <f>E21+F21</f>
        <v/>
      </c>
      <c r="H21" s="40">
        <f>G21-100</f>
        <v/>
      </c>
    </row>
    <row r="22">
      <c r="A22" s="5" t="n">
        <v>16</v>
      </c>
      <c r="B22" s="12" t="n">
        <v>44316</v>
      </c>
      <c r="C22" s="5" t="inlineStr">
        <is>
          <t>Apr 2021</t>
        </is>
      </c>
      <c r="D22" s="14" t="n">
        <v>0.028</v>
      </c>
      <c r="E22" s="40">
        <f>G21</f>
        <v/>
      </c>
      <c r="F22" s="41">
        <f>E22*D22</f>
        <v/>
      </c>
      <c r="G22" s="42">
        <f>E22+F22</f>
        <v/>
      </c>
      <c r="H22" s="40">
        <f>G22-100</f>
        <v/>
      </c>
    </row>
    <row r="23">
      <c r="A23" s="5" t="n">
        <v>17</v>
      </c>
      <c r="B23" s="12" t="n">
        <v>44347</v>
      </c>
      <c r="C23" s="5" t="inlineStr">
        <is>
          <t>May 2021</t>
        </is>
      </c>
      <c r="D23" s="14" t="n">
        <v>-0.008</v>
      </c>
      <c r="E23" s="40">
        <f>G22</f>
        <v/>
      </c>
      <c r="F23" s="43">
        <f>E23*D23</f>
        <v/>
      </c>
      <c r="G23" s="42">
        <f>E23+F23</f>
        <v/>
      </c>
      <c r="H23" s="40">
        <f>G23-100</f>
        <v/>
      </c>
    </row>
    <row r="24">
      <c r="A24" s="5" t="n">
        <v>18</v>
      </c>
      <c r="B24" s="12" t="n">
        <v>44377</v>
      </c>
      <c r="C24" s="5" t="inlineStr">
        <is>
          <t>Jun 2021</t>
        </is>
      </c>
      <c r="D24" s="14" t="n">
        <v>0.032</v>
      </c>
      <c r="E24" s="40">
        <f>G23</f>
        <v/>
      </c>
      <c r="F24" s="41">
        <f>E24*D24</f>
        <v/>
      </c>
      <c r="G24" s="42">
        <f>E24+F24</f>
        <v/>
      </c>
      <c r="H24" s="40">
        <f>G24-100</f>
        <v/>
      </c>
    </row>
    <row r="25">
      <c r="A25" s="5" t="n">
        <v>19</v>
      </c>
      <c r="B25" s="12" t="n">
        <v>44408</v>
      </c>
      <c r="C25" s="5" t="inlineStr">
        <is>
          <t>Jul 2021</t>
        </is>
      </c>
      <c r="D25" s="14" t="n">
        <v>0.012</v>
      </c>
      <c r="E25" s="40">
        <f>G24</f>
        <v/>
      </c>
      <c r="F25" s="41">
        <f>E25*D25</f>
        <v/>
      </c>
      <c r="G25" s="42">
        <f>E25+F25</f>
        <v/>
      </c>
      <c r="H25" s="40">
        <f>G25-100</f>
        <v/>
      </c>
    </row>
    <row r="26">
      <c r="A26" s="5" t="n">
        <v>20</v>
      </c>
      <c r="B26" s="12" t="n">
        <v>44439</v>
      </c>
      <c r="C26" s="5" t="inlineStr">
        <is>
          <t>Aug 2021</t>
        </is>
      </c>
      <c r="D26" s="14" t="n">
        <v>0.025</v>
      </c>
      <c r="E26" s="40">
        <f>G25</f>
        <v/>
      </c>
      <c r="F26" s="41">
        <f>E26*D26</f>
        <v/>
      </c>
      <c r="G26" s="42">
        <f>E26+F26</f>
        <v/>
      </c>
      <c r="H26" s="40">
        <f>G26-100</f>
        <v/>
      </c>
    </row>
    <row r="27">
      <c r="A27" s="5" t="n">
        <v>21</v>
      </c>
      <c r="B27" s="12" t="n">
        <v>44469</v>
      </c>
      <c r="C27" s="5" t="inlineStr">
        <is>
          <t>Sep 2021</t>
        </is>
      </c>
      <c r="D27" s="14" t="n">
        <v>-0.015</v>
      </c>
      <c r="E27" s="40">
        <f>G26</f>
        <v/>
      </c>
      <c r="F27" s="43">
        <f>E27*D27</f>
        <v/>
      </c>
      <c r="G27" s="42">
        <f>E27+F27</f>
        <v/>
      </c>
      <c r="H27" s="40">
        <f>G27-100</f>
        <v/>
      </c>
    </row>
    <row r="28">
      <c r="A28" s="5" t="n">
        <v>22</v>
      </c>
      <c r="B28" s="12" t="n">
        <v>44500</v>
      </c>
      <c r="C28" s="5" t="inlineStr">
        <is>
          <t>Oct 2021</t>
        </is>
      </c>
      <c r="D28" s="14" t="n">
        <v>0.038</v>
      </c>
      <c r="E28" s="40">
        <f>G27</f>
        <v/>
      </c>
      <c r="F28" s="41">
        <f>E28*D28</f>
        <v/>
      </c>
      <c r="G28" s="42">
        <f>E28+F28</f>
        <v/>
      </c>
      <c r="H28" s="40">
        <f>G28-100</f>
        <v/>
      </c>
    </row>
    <row r="29">
      <c r="A29" s="5" t="n">
        <v>23</v>
      </c>
      <c r="B29" s="12" t="n">
        <v>44530</v>
      </c>
      <c r="C29" s="5" t="inlineStr">
        <is>
          <t>Nov 2021</t>
        </is>
      </c>
      <c r="D29" s="14" t="n">
        <v>0.022</v>
      </c>
      <c r="E29" s="40">
        <f>G28</f>
        <v/>
      </c>
      <c r="F29" s="41">
        <f>E29*D29</f>
        <v/>
      </c>
      <c r="G29" s="42">
        <f>E29+F29</f>
        <v/>
      </c>
      <c r="H29" s="40">
        <f>G29-100</f>
        <v/>
      </c>
    </row>
    <row r="30">
      <c r="A30" s="5" t="n">
        <v>24</v>
      </c>
      <c r="B30" s="12" t="n">
        <v>44561</v>
      </c>
      <c r="C30" s="5" t="inlineStr">
        <is>
          <t>Dec 2021</t>
        </is>
      </c>
      <c r="D30" s="14" t="n">
        <v>0.015</v>
      </c>
      <c r="E30" s="40">
        <f>G29</f>
        <v/>
      </c>
      <c r="F30" s="41">
        <f>E30*D30</f>
        <v/>
      </c>
      <c r="G30" s="42">
        <f>E30+F30</f>
        <v/>
      </c>
      <c r="H30" s="40">
        <f>G30-100</f>
        <v/>
      </c>
    </row>
    <row r="31">
      <c r="A31" s="5" t="n">
        <v>25</v>
      </c>
      <c r="B31" s="12" t="n">
        <v>44592</v>
      </c>
      <c r="C31" s="5" t="inlineStr">
        <is>
          <t>Jan 2022</t>
        </is>
      </c>
      <c r="D31" s="14" t="n">
        <v>-0.025</v>
      </c>
      <c r="E31" s="40">
        <f>G30</f>
        <v/>
      </c>
      <c r="F31" s="43">
        <f>E31*D31</f>
        <v/>
      </c>
      <c r="G31" s="42">
        <f>E31+F31</f>
        <v/>
      </c>
      <c r="H31" s="40">
        <f>G31-100</f>
        <v/>
      </c>
    </row>
    <row r="32">
      <c r="A32" s="5" t="n">
        <v>26</v>
      </c>
      <c r="B32" s="12" t="n">
        <v>44620</v>
      </c>
      <c r="C32" s="5" t="inlineStr">
        <is>
          <t>Feb 2022</t>
        </is>
      </c>
      <c r="D32" s="14" t="n">
        <v>-0.018</v>
      </c>
      <c r="E32" s="40">
        <f>G31</f>
        <v/>
      </c>
      <c r="F32" s="43">
        <f>E32*D32</f>
        <v/>
      </c>
      <c r="G32" s="42">
        <f>E32+F32</f>
        <v/>
      </c>
      <c r="H32" s="40">
        <f>G32-100</f>
        <v/>
      </c>
    </row>
    <row r="33">
      <c r="A33" s="5" t="n">
        <v>27</v>
      </c>
      <c r="B33" s="12" t="n">
        <v>44651</v>
      </c>
      <c r="C33" s="5" t="inlineStr">
        <is>
          <t>Mar 2022</t>
        </is>
      </c>
      <c r="D33" s="14" t="n">
        <v>0.012</v>
      </c>
      <c r="E33" s="40">
        <f>G32</f>
        <v/>
      </c>
      <c r="F33" s="41">
        <f>E33*D33</f>
        <v/>
      </c>
      <c r="G33" s="42">
        <f>E33+F33</f>
        <v/>
      </c>
      <c r="H33" s="40">
        <f>G33-100</f>
        <v/>
      </c>
    </row>
    <row r="34">
      <c r="A34" s="5" t="n">
        <v>28</v>
      </c>
      <c r="B34" s="12" t="n">
        <v>44681</v>
      </c>
      <c r="C34" s="5" t="inlineStr">
        <is>
          <t>Apr 2022</t>
        </is>
      </c>
      <c r="D34" s="14" t="n">
        <v>-0.032</v>
      </c>
      <c r="E34" s="40">
        <f>G33</f>
        <v/>
      </c>
      <c r="F34" s="43">
        <f>E34*D34</f>
        <v/>
      </c>
      <c r="G34" s="42">
        <f>E34+F34</f>
        <v/>
      </c>
      <c r="H34" s="40">
        <f>G34-100</f>
        <v/>
      </c>
    </row>
    <row r="35">
      <c r="A35" s="5" t="n">
        <v>29</v>
      </c>
      <c r="B35" s="12" t="n">
        <v>44712</v>
      </c>
      <c r="C35" s="5" t="inlineStr">
        <is>
          <t>May 2022</t>
        </is>
      </c>
      <c r="D35" s="14" t="n">
        <v>-0.015</v>
      </c>
      <c r="E35" s="40">
        <f>G34</f>
        <v/>
      </c>
      <c r="F35" s="43">
        <f>E35*D35</f>
        <v/>
      </c>
      <c r="G35" s="42">
        <f>E35+F35</f>
        <v/>
      </c>
      <c r="H35" s="40">
        <f>G35-100</f>
        <v/>
      </c>
    </row>
    <row r="36">
      <c r="A36" s="5" t="n">
        <v>30</v>
      </c>
      <c r="B36" s="12" t="n">
        <v>44742</v>
      </c>
      <c r="C36" s="5" t="inlineStr">
        <is>
          <t>Jun 2022</t>
        </is>
      </c>
      <c r="D36" s="14" t="n">
        <v>-0.022</v>
      </c>
      <c r="E36" s="40">
        <f>G35</f>
        <v/>
      </c>
      <c r="F36" s="43">
        <f>E36*D36</f>
        <v/>
      </c>
      <c r="G36" s="42">
        <f>E36+F36</f>
        <v/>
      </c>
      <c r="H36" s="40">
        <f>G36-100</f>
        <v/>
      </c>
    </row>
    <row r="37">
      <c r="A37" s="5" t="n">
        <v>31</v>
      </c>
      <c r="B37" s="12" t="n">
        <v>44773</v>
      </c>
      <c r="C37" s="5" t="inlineStr">
        <is>
          <t>Jul 2022</t>
        </is>
      </c>
      <c r="D37" s="14" t="n">
        <v>0.018</v>
      </c>
      <c r="E37" s="40">
        <f>G36</f>
        <v/>
      </c>
      <c r="F37" s="41">
        <f>E37*D37</f>
        <v/>
      </c>
      <c r="G37" s="42">
        <f>E37+F37</f>
        <v/>
      </c>
      <c r="H37" s="40">
        <f>G37-100</f>
        <v/>
      </c>
    </row>
    <row r="38">
      <c r="A38" s="5" t="n">
        <v>32</v>
      </c>
      <c r="B38" s="12" t="n">
        <v>44804</v>
      </c>
      <c r="C38" s="5" t="inlineStr">
        <is>
          <t>Aug 2022</t>
        </is>
      </c>
      <c r="D38" s="14" t="n">
        <v>0.008</v>
      </c>
      <c r="E38" s="40">
        <f>G37</f>
        <v/>
      </c>
      <c r="F38" s="41">
        <f>E38*D38</f>
        <v/>
      </c>
      <c r="G38" s="42">
        <f>E38+F38</f>
        <v/>
      </c>
      <c r="H38" s="40">
        <f>G38-100</f>
        <v/>
      </c>
    </row>
    <row r="39">
      <c r="A39" s="5" t="n">
        <v>33</v>
      </c>
      <c r="B39" s="12" t="n">
        <v>44834</v>
      </c>
      <c r="C39" s="5" t="inlineStr">
        <is>
          <t>Sep 2022</t>
        </is>
      </c>
      <c r="D39" s="14" t="n">
        <v>-0.028</v>
      </c>
      <c r="E39" s="40">
        <f>G38</f>
        <v/>
      </c>
      <c r="F39" s="43">
        <f>E39*D39</f>
        <v/>
      </c>
      <c r="G39" s="42">
        <f>E39+F39</f>
        <v/>
      </c>
      <c r="H39" s="40">
        <f>G39-100</f>
        <v/>
      </c>
    </row>
    <row r="40">
      <c r="A40" s="5" t="n">
        <v>34</v>
      </c>
      <c r="B40" s="12" t="n">
        <v>44865</v>
      </c>
      <c r="C40" s="5" t="inlineStr">
        <is>
          <t>Oct 2022</t>
        </is>
      </c>
      <c r="D40" s="14" t="n">
        <v>0.015</v>
      </c>
      <c r="E40" s="40">
        <f>G39</f>
        <v/>
      </c>
      <c r="F40" s="41">
        <f>E40*D40</f>
        <v/>
      </c>
      <c r="G40" s="42">
        <f>E40+F40</f>
        <v/>
      </c>
      <c r="H40" s="40">
        <f>G40-100</f>
        <v/>
      </c>
    </row>
    <row r="41">
      <c r="A41" s="5" t="n">
        <v>35</v>
      </c>
      <c r="B41" s="12" t="n">
        <v>44895</v>
      </c>
      <c r="C41" s="5" t="inlineStr">
        <is>
          <t>Nov 2022</t>
        </is>
      </c>
      <c r="D41" s="14" t="n">
        <v>0.022</v>
      </c>
      <c r="E41" s="40">
        <f>G40</f>
        <v/>
      </c>
      <c r="F41" s="41">
        <f>E41*D41</f>
        <v/>
      </c>
      <c r="G41" s="42">
        <f>E41+F41</f>
        <v/>
      </c>
      <c r="H41" s="40">
        <f>G41-100</f>
        <v/>
      </c>
    </row>
    <row r="42">
      <c r="A42" s="5" t="n">
        <v>36</v>
      </c>
      <c r="B42" s="12" t="n">
        <v>44926</v>
      </c>
      <c r="C42" s="5" t="inlineStr">
        <is>
          <t>Dec 2022</t>
        </is>
      </c>
      <c r="D42" s="14" t="n">
        <v>-0.012</v>
      </c>
      <c r="E42" s="40">
        <f>G41</f>
        <v/>
      </c>
      <c r="F42" s="43">
        <f>E42*D42</f>
        <v/>
      </c>
      <c r="G42" s="42">
        <f>E42+F42</f>
        <v/>
      </c>
      <c r="H42" s="40">
        <f>G42-100</f>
        <v/>
      </c>
    </row>
    <row r="43">
      <c r="A43" s="5" t="n">
        <v>37</v>
      </c>
      <c r="B43" s="12" t="n">
        <v>44957</v>
      </c>
      <c r="C43" s="5" t="inlineStr">
        <is>
          <t>Jan 2023</t>
        </is>
      </c>
      <c r="D43" s="14" t="n">
        <v>0.028</v>
      </c>
      <c r="E43" s="40">
        <f>G42</f>
        <v/>
      </c>
      <c r="F43" s="41">
        <f>E43*D43</f>
        <v/>
      </c>
      <c r="G43" s="42">
        <f>E43+F43</f>
        <v/>
      </c>
      <c r="H43" s="40">
        <f>G43-100</f>
        <v/>
      </c>
    </row>
    <row r="44">
      <c r="A44" s="5" t="n">
        <v>38</v>
      </c>
      <c r="B44" s="12" t="n">
        <v>44985</v>
      </c>
      <c r="C44" s="5" t="inlineStr">
        <is>
          <t>Feb 2023</t>
        </is>
      </c>
      <c r="D44" s="14" t="n">
        <v>0.015</v>
      </c>
      <c r="E44" s="40">
        <f>G43</f>
        <v/>
      </c>
      <c r="F44" s="41">
        <f>E44*D44</f>
        <v/>
      </c>
      <c r="G44" s="42">
        <f>E44+F44</f>
        <v/>
      </c>
      <c r="H44" s="40">
        <f>G44-100</f>
        <v/>
      </c>
    </row>
    <row r="45">
      <c r="A45" s="5" t="n">
        <v>39</v>
      </c>
      <c r="B45" s="12" t="n">
        <v>45016</v>
      </c>
      <c r="C45" s="5" t="inlineStr">
        <is>
          <t>Mar 2023</t>
        </is>
      </c>
      <c r="D45" s="14" t="n">
        <v>0.022</v>
      </c>
      <c r="E45" s="40">
        <f>G44</f>
        <v/>
      </c>
      <c r="F45" s="41">
        <f>E45*D45</f>
        <v/>
      </c>
      <c r="G45" s="42">
        <f>E45+F45</f>
        <v/>
      </c>
      <c r="H45" s="40">
        <f>G45-100</f>
        <v/>
      </c>
    </row>
    <row r="46">
      <c r="A46" s="5" t="n">
        <v>40</v>
      </c>
      <c r="B46" s="12" t="n">
        <v>45046</v>
      </c>
      <c r="C46" s="5" t="inlineStr">
        <is>
          <t>Apr 2023</t>
        </is>
      </c>
      <c r="D46" s="14" t="n">
        <v>-0.008</v>
      </c>
      <c r="E46" s="40">
        <f>G45</f>
        <v/>
      </c>
      <c r="F46" s="43">
        <f>E46*D46</f>
        <v/>
      </c>
      <c r="G46" s="42">
        <f>E46+F46</f>
        <v/>
      </c>
      <c r="H46" s="40">
        <f>G46-100</f>
        <v/>
      </c>
    </row>
    <row r="47">
      <c r="A47" s="5" t="n">
        <v>41</v>
      </c>
      <c r="B47" s="12" t="n">
        <v>45077</v>
      </c>
      <c r="C47" s="5" t="inlineStr">
        <is>
          <t>May 2023</t>
        </is>
      </c>
      <c r="D47" s="14" t="n">
        <v>0.032</v>
      </c>
      <c r="E47" s="40">
        <f>G46</f>
        <v/>
      </c>
      <c r="F47" s="41">
        <f>E47*D47</f>
        <v/>
      </c>
      <c r="G47" s="42">
        <f>E47+F47</f>
        <v/>
      </c>
      <c r="H47" s="40">
        <f>G47-100</f>
        <v/>
      </c>
    </row>
    <row r="48">
      <c r="A48" s="5" t="n">
        <v>42</v>
      </c>
      <c r="B48" s="12" t="n">
        <v>45107</v>
      </c>
      <c r="C48" s="5" t="inlineStr">
        <is>
          <t>Jun 2023</t>
        </is>
      </c>
      <c r="D48" s="14" t="n">
        <v>0.018</v>
      </c>
      <c r="E48" s="40">
        <f>G47</f>
        <v/>
      </c>
      <c r="F48" s="41">
        <f>E48*D48</f>
        <v/>
      </c>
      <c r="G48" s="42">
        <f>E48+F48</f>
        <v/>
      </c>
      <c r="H48" s="40">
        <f>G48-100</f>
        <v/>
      </c>
    </row>
    <row r="49">
      <c r="A49" s="5" t="n">
        <v>43</v>
      </c>
      <c r="B49" s="12" t="n">
        <v>45138</v>
      </c>
      <c r="C49" s="5" t="inlineStr">
        <is>
          <t>Jul 2023</t>
        </is>
      </c>
      <c r="D49" s="14" t="n">
        <v>0.025</v>
      </c>
      <c r="E49" s="40">
        <f>G48</f>
        <v/>
      </c>
      <c r="F49" s="41">
        <f>E49*D49</f>
        <v/>
      </c>
      <c r="G49" s="42">
        <f>E49+F49</f>
        <v/>
      </c>
      <c r="H49" s="40">
        <f>G49-100</f>
        <v/>
      </c>
    </row>
    <row r="50">
      <c r="A50" s="5" t="n">
        <v>44</v>
      </c>
      <c r="B50" s="12" t="n">
        <v>45169</v>
      </c>
      <c r="C50" s="5" t="inlineStr">
        <is>
          <t>Aug 2023</t>
        </is>
      </c>
      <c r="D50" s="14" t="n">
        <v>-0.012</v>
      </c>
      <c r="E50" s="40">
        <f>G49</f>
        <v/>
      </c>
      <c r="F50" s="43">
        <f>E50*D50</f>
        <v/>
      </c>
      <c r="G50" s="42">
        <f>E50+F50</f>
        <v/>
      </c>
      <c r="H50" s="40">
        <f>G50-100</f>
        <v/>
      </c>
    </row>
    <row r="51">
      <c r="A51" s="5" t="n">
        <v>45</v>
      </c>
      <c r="B51" s="12" t="n">
        <v>45199</v>
      </c>
      <c r="C51" s="5" t="inlineStr">
        <is>
          <t>Sep 2023</t>
        </is>
      </c>
      <c r="D51" s="14" t="n">
        <v>0.015</v>
      </c>
      <c r="E51" s="40">
        <f>G50</f>
        <v/>
      </c>
      <c r="F51" s="41">
        <f>E51*D51</f>
        <v/>
      </c>
      <c r="G51" s="42">
        <f>E51+F51</f>
        <v/>
      </c>
      <c r="H51" s="40">
        <f>G51-100</f>
        <v/>
      </c>
    </row>
    <row r="52">
      <c r="A52" s="5" t="n">
        <v>46</v>
      </c>
      <c r="B52" s="12" t="n">
        <v>45230</v>
      </c>
      <c r="C52" s="5" t="inlineStr">
        <is>
          <t>Oct 2023</t>
        </is>
      </c>
      <c r="D52" s="14" t="n">
        <v>0.028</v>
      </c>
      <c r="E52" s="40">
        <f>G51</f>
        <v/>
      </c>
      <c r="F52" s="41">
        <f>E52*D52</f>
        <v/>
      </c>
      <c r="G52" s="42">
        <f>E52+F52</f>
        <v/>
      </c>
      <c r="H52" s="40">
        <f>G52-100</f>
        <v/>
      </c>
    </row>
    <row r="53">
      <c r="A53" s="5" t="n">
        <v>47</v>
      </c>
      <c r="B53" s="12" t="n">
        <v>45260</v>
      </c>
      <c r="C53" s="5" t="inlineStr">
        <is>
          <t>Nov 2023</t>
        </is>
      </c>
      <c r="D53" s="14" t="n">
        <v>0.022</v>
      </c>
      <c r="E53" s="40">
        <f>G52</f>
        <v/>
      </c>
      <c r="F53" s="41">
        <f>E53*D53</f>
        <v/>
      </c>
      <c r="G53" s="42">
        <f>E53+F53</f>
        <v/>
      </c>
      <c r="H53" s="40">
        <f>G53-100</f>
        <v/>
      </c>
    </row>
    <row r="54">
      <c r="A54" s="5" t="n">
        <v>48</v>
      </c>
      <c r="B54" s="12" t="n">
        <v>45291</v>
      </c>
      <c r="C54" s="5" t="inlineStr">
        <is>
          <t>Dec 2023</t>
        </is>
      </c>
      <c r="D54" s="14" t="n">
        <v>0.018</v>
      </c>
      <c r="E54" s="40">
        <f>G53</f>
        <v/>
      </c>
      <c r="F54" s="41">
        <f>E54*D54</f>
        <v/>
      </c>
      <c r="G54" s="42">
        <f>E54+F54</f>
        <v/>
      </c>
      <c r="H54" s="40">
        <f>G54-100</f>
        <v/>
      </c>
    </row>
    <row r="55">
      <c r="A55" s="5" t="n">
        <v>49</v>
      </c>
      <c r="B55" s="12" t="n">
        <v>45322</v>
      </c>
      <c r="C55" s="5" t="inlineStr">
        <is>
          <t>Jan 2024</t>
        </is>
      </c>
      <c r="D55" s="14" t="n">
        <v>0.022</v>
      </c>
      <c r="E55" s="40">
        <f>G54</f>
        <v/>
      </c>
      <c r="F55" s="41">
        <f>E55*D55</f>
        <v/>
      </c>
      <c r="G55" s="42">
        <f>E55+F55</f>
        <v/>
      </c>
      <c r="H55" s="40">
        <f>G55-100</f>
        <v/>
      </c>
    </row>
    <row r="56">
      <c r="A56" s="5" t="n">
        <v>50</v>
      </c>
      <c r="B56" s="12" t="n">
        <v>45351</v>
      </c>
      <c r="C56" s="5" t="inlineStr">
        <is>
          <t>Feb 2024</t>
        </is>
      </c>
      <c r="D56" s="14" t="n">
        <v>0.015</v>
      </c>
      <c r="E56" s="40">
        <f>G55</f>
        <v/>
      </c>
      <c r="F56" s="41">
        <f>E56*D56</f>
        <v/>
      </c>
      <c r="G56" s="42">
        <f>E56+F56</f>
        <v/>
      </c>
      <c r="H56" s="40">
        <f>G56-100</f>
        <v/>
      </c>
    </row>
    <row r="57">
      <c r="A57" s="5" t="n">
        <v>51</v>
      </c>
      <c r="B57" s="12" t="n">
        <v>45382</v>
      </c>
      <c r="C57" s="5" t="inlineStr">
        <is>
          <t>Mar 2024</t>
        </is>
      </c>
      <c r="D57" s="14" t="n">
        <v>0.028</v>
      </c>
      <c r="E57" s="40">
        <f>G56</f>
        <v/>
      </c>
      <c r="F57" s="41">
        <f>E57*D57</f>
        <v/>
      </c>
      <c r="G57" s="42">
        <f>E57+F57</f>
        <v/>
      </c>
      <c r="H57" s="40">
        <f>G57-100</f>
        <v/>
      </c>
    </row>
    <row r="58">
      <c r="A58" s="5" t="n">
        <v>52</v>
      </c>
      <c r="B58" s="12" t="n">
        <v>45412</v>
      </c>
      <c r="C58" s="5" t="inlineStr">
        <is>
          <t>Apr 2024</t>
        </is>
      </c>
      <c r="D58" s="14" t="n">
        <v>0.012</v>
      </c>
      <c r="E58" s="40">
        <f>G57</f>
        <v/>
      </c>
      <c r="F58" s="41">
        <f>E58*D58</f>
        <v/>
      </c>
      <c r="G58" s="42">
        <f>E58+F58</f>
        <v/>
      </c>
      <c r="H58" s="40">
        <f>G58-100</f>
        <v/>
      </c>
    </row>
    <row r="59">
      <c r="A59" s="5" t="n">
        <v>53</v>
      </c>
      <c r="B59" s="12" t="n">
        <v>45443</v>
      </c>
      <c r="C59" s="5" t="inlineStr">
        <is>
          <t>May 2024</t>
        </is>
      </c>
      <c r="D59" s="14" t="n">
        <v>-0.008</v>
      </c>
      <c r="E59" s="40">
        <f>G58</f>
        <v/>
      </c>
      <c r="F59" s="43">
        <f>E59*D59</f>
        <v/>
      </c>
      <c r="G59" s="42">
        <f>E59+F59</f>
        <v/>
      </c>
      <c r="H59" s="40">
        <f>G59-100</f>
        <v/>
      </c>
    </row>
    <row r="60">
      <c r="A60" s="5" t="n">
        <v>54</v>
      </c>
      <c r="B60" s="12" t="n">
        <v>45473</v>
      </c>
      <c r="C60" s="5" t="inlineStr">
        <is>
          <t>Jun 2024</t>
        </is>
      </c>
      <c r="D60" s="14" t="n">
        <v>0.025</v>
      </c>
      <c r="E60" s="40">
        <f>G59</f>
        <v/>
      </c>
      <c r="F60" s="41">
        <f>E60*D60</f>
        <v/>
      </c>
      <c r="G60" s="42">
        <f>E60+F60</f>
        <v/>
      </c>
      <c r="H60" s="40">
        <f>G60-100</f>
        <v/>
      </c>
    </row>
    <row r="61">
      <c r="A61" s="5" t="n">
        <v>55</v>
      </c>
      <c r="B61" s="12" t="n">
        <v>45504</v>
      </c>
      <c r="C61" s="5" t="inlineStr">
        <is>
          <t>Jul 2024</t>
        </is>
      </c>
      <c r="D61" s="14" t="n">
        <v>0.018</v>
      </c>
      <c r="E61" s="40">
        <f>G60</f>
        <v/>
      </c>
      <c r="F61" s="41">
        <f>E61*D61</f>
        <v/>
      </c>
      <c r="G61" s="42">
        <f>E61+F61</f>
        <v/>
      </c>
      <c r="H61" s="40">
        <f>G61-100</f>
        <v/>
      </c>
    </row>
    <row r="62">
      <c r="A62" s="5" t="n">
        <v>56</v>
      </c>
      <c r="B62" s="12" t="n">
        <v>45535</v>
      </c>
      <c r="C62" s="5" t="inlineStr">
        <is>
          <t>Aug 2024</t>
        </is>
      </c>
      <c r="D62" s="14" t="n">
        <v>0.022</v>
      </c>
      <c r="E62" s="40">
        <f>G61</f>
        <v/>
      </c>
      <c r="F62" s="41">
        <f>E62*D62</f>
        <v/>
      </c>
      <c r="G62" s="42">
        <f>E62+F62</f>
        <v/>
      </c>
      <c r="H62" s="40">
        <f>G62-100</f>
        <v/>
      </c>
    </row>
    <row r="63">
      <c r="A63" s="5" t="n">
        <v>57</v>
      </c>
      <c r="B63" s="12" t="n">
        <v>45565</v>
      </c>
      <c r="C63" s="5" t="inlineStr">
        <is>
          <t>Sep 2024</t>
        </is>
      </c>
      <c r="D63" s="14" t="n">
        <v>-0.015</v>
      </c>
      <c r="E63" s="40">
        <f>G62</f>
        <v/>
      </c>
      <c r="F63" s="43">
        <f>E63*D63</f>
        <v/>
      </c>
      <c r="G63" s="42">
        <f>E63+F63</f>
        <v/>
      </c>
      <c r="H63" s="40">
        <f>G63-100</f>
        <v/>
      </c>
    </row>
    <row r="64">
      <c r="A64" s="5" t="n">
        <v>58</v>
      </c>
      <c r="B64" s="12" t="n">
        <v>45596</v>
      </c>
      <c r="C64" s="5" t="inlineStr">
        <is>
          <t>Oct 2024</t>
        </is>
      </c>
      <c r="D64" s="14" t="n">
        <v>0.032</v>
      </c>
      <c r="E64" s="40">
        <f>G63</f>
        <v/>
      </c>
      <c r="F64" s="41">
        <f>E64*D64</f>
        <v/>
      </c>
      <c r="G64" s="42">
        <f>E64+F64</f>
        <v/>
      </c>
      <c r="H64" s="40">
        <f>G64-100</f>
        <v/>
      </c>
    </row>
    <row r="65">
      <c r="A65" s="5" t="n">
        <v>59</v>
      </c>
      <c r="B65" s="12" t="n">
        <v>45626</v>
      </c>
      <c r="C65" s="5" t="inlineStr">
        <is>
          <t>Nov 2024</t>
        </is>
      </c>
      <c r="D65" s="14" t="n">
        <v>0.025</v>
      </c>
      <c r="E65" s="40">
        <f>G64</f>
        <v/>
      </c>
      <c r="F65" s="41">
        <f>E65*D65</f>
        <v/>
      </c>
      <c r="G65" s="42">
        <f>E65+F65</f>
        <v/>
      </c>
      <c r="H65" s="40">
        <f>G65-100</f>
        <v/>
      </c>
    </row>
    <row r="66">
      <c r="A66" s="5" t="n">
        <v>60</v>
      </c>
      <c r="B66" s="12" t="n">
        <v>45657</v>
      </c>
      <c r="C66" s="5" t="inlineStr">
        <is>
          <t>Dec 2024</t>
        </is>
      </c>
      <c r="D66" s="14" t="n">
        <v>0.018</v>
      </c>
      <c r="E66" s="40">
        <f>G65</f>
        <v/>
      </c>
      <c r="F66" s="41">
        <f>E66*D66</f>
        <v/>
      </c>
      <c r="G66" s="42">
        <f>E66+F66</f>
        <v/>
      </c>
      <c r="H66" s="40">
        <f>G66-100</f>
        <v/>
      </c>
    </row>
    <row r="68">
      <c r="A68" s="44" t="inlineStr">
        <is>
          <t>FINAL</t>
        </is>
      </c>
      <c r="G68" s="45">
        <f>G67</f>
        <v/>
      </c>
      <c r="H68" s="45">
        <f>G67-100</f>
        <v/>
      </c>
    </row>
    <row r="70">
      <c r="A70" t="inlineStr">
        <is>
          <t>Total Return Calculation:</t>
        </is>
      </c>
      <c r="B70" s="37">
        <f>(G67-100)/100</f>
        <v/>
      </c>
    </row>
    <row r="71">
      <c r="A71" t="inlineStr">
        <is>
          <t>Verification (should match cumulative):</t>
        </is>
      </c>
      <c r="B71" s="38">
        <f>G67/100-1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2" customWidth="1" min="1" max="1"/>
    <col width="25" customWidth="1" min="2" max="2"/>
    <col width="55" customWidth="1" min="3" max="3"/>
    <col width="12" customWidth="1" min="4" max="4"/>
    <col width="25" customWidth="1" min="5" max="5"/>
  </cols>
  <sheetData>
    <row r="1">
      <c r="A1" s="3" t="inlineStr">
        <is>
          <t>COMPLETE RISK METRICS CALCULATIONS</t>
        </is>
      </c>
    </row>
    <row r="3">
      <c r="A3" s="25" t="inlineStr">
        <is>
          <t>All calculations use 60 monthly returns from Sheet 2</t>
        </is>
      </c>
    </row>
    <row r="5">
      <c r="A5" s="21" t="inlineStr">
        <is>
          <t>INPUT DATA SUMMARY</t>
        </is>
      </c>
    </row>
    <row r="6">
      <c r="A6" s="8" t="inlineStr">
        <is>
          <t>Parameter</t>
        </is>
      </c>
      <c r="B6" s="8" t="inlineStr">
        <is>
          <t>Value</t>
        </is>
      </c>
      <c r="C6" s="8" t="inlineStr">
        <is>
          <t>Source</t>
        </is>
      </c>
    </row>
    <row r="7">
      <c r="A7" s="5" t="inlineStr">
        <is>
          <t>Risk-Free Rate (Annual)</t>
        </is>
      </c>
      <c r="B7" s="5" t="inlineStr">
        <is>
          <t>4.00%</t>
        </is>
      </c>
      <c r="C7" s="5" t="inlineStr">
        <is>
          <t>US Treasury 10-Year Yield</t>
        </is>
      </c>
    </row>
    <row r="8">
      <c r="A8" s="5" t="inlineStr">
        <is>
          <t>Risk-Free Rate (Monthly)</t>
        </is>
      </c>
      <c r="B8" s="5" t="inlineStr">
        <is>
          <t>0.33%</t>
        </is>
      </c>
      <c r="C8" s="5">
        <f>4%/12</f>
        <v/>
      </c>
    </row>
    <row r="9">
      <c r="A9" s="5" t="inlineStr">
        <is>
          <t>Number of Periods</t>
        </is>
      </c>
      <c r="B9" s="5" t="inlineStr">
        <is>
          <t>60</t>
        </is>
      </c>
      <c r="C9" s="5" t="inlineStr">
        <is>
          <t>Monthly returns</t>
        </is>
      </c>
    </row>
    <row r="10">
      <c r="A10" s="5" t="inlineStr">
        <is>
          <t>Annualization Factor</t>
        </is>
      </c>
      <c r="B10" s="5" t="inlineStr">
        <is>
          <t>√12 = 3.4641</t>
        </is>
      </c>
      <c r="C10" s="5" t="inlineStr">
        <is>
          <t>CFA Institute Standard</t>
        </is>
      </c>
    </row>
    <row r="13">
      <c r="A13" s="21" t="inlineStr">
        <is>
          <t>RISK-ADJUSTED PERFORMANCE METRICS</t>
        </is>
      </c>
    </row>
    <row r="14">
      <c r="A14" s="8" t="inlineStr">
        <is>
          <t>Metric</t>
        </is>
      </c>
      <c r="B14" s="8" t="inlineStr">
        <is>
          <t>Formula</t>
        </is>
      </c>
      <c r="C14" s="8" t="inlineStr">
        <is>
          <t>Excel Formula</t>
        </is>
      </c>
      <c r="D14" s="8" t="inlineStr">
        <is>
          <t>Result</t>
        </is>
      </c>
      <c r="E14" s="8" t="inlineStr">
        <is>
          <t>Interpretation</t>
        </is>
      </c>
    </row>
    <row r="15">
      <c r="A15" s="5" t="inlineStr">
        <is>
          <t>Average Monthly Return</t>
        </is>
      </c>
      <c r="B15" s="5" t="inlineStr">
        <is>
          <t>Σ(Ri)/n</t>
        </is>
      </c>
      <c r="C15" s="5">
        <f>AVERAGE('2_Monthly_Returns_60M'!E5:E64)</f>
        <v/>
      </c>
      <c r="D15" s="22" t="inlineStr"/>
      <c r="E15" s="5" t="inlineStr">
        <is>
          <t>Mean monthly performance</t>
        </is>
      </c>
    </row>
    <row r="16">
      <c r="A16" s="5" t="inlineStr">
        <is>
          <t>Monthly Std Dev</t>
        </is>
      </c>
      <c r="B16" s="5" t="inlineStr">
        <is>
          <t>√[Σ(Ri-R̄)²/(n-1)]</t>
        </is>
      </c>
      <c r="C16" s="5">
        <f>STDEV('2_Monthly_Returns_60M'!E5:E64)</f>
        <v/>
      </c>
      <c r="D16" s="22" t="inlineStr"/>
      <c r="E16" s="5" t="inlineStr">
        <is>
          <t>Monthly volatility</t>
        </is>
      </c>
    </row>
    <row r="17">
      <c r="A17" s="5" t="inlineStr">
        <is>
          <t>Annualized Return</t>
        </is>
      </c>
      <c r="B17" s="5" t="inlineStr">
        <is>
          <t>(1+Cum)^(12/n)-1</t>
        </is>
      </c>
      <c r="C17" s="5">
        <f>'2_Monthly_Returns_60M'!J64^(12/60)-1</f>
        <v/>
      </c>
      <c r="D17" s="22" t="inlineStr"/>
      <c r="E17" s="5" t="inlineStr">
        <is>
          <t>CAGR equivalent</t>
        </is>
      </c>
    </row>
    <row r="18">
      <c r="A18" s="5" t="inlineStr">
        <is>
          <t>Annualized Volatility</t>
        </is>
      </c>
      <c r="B18" s="5" t="inlineStr">
        <is>
          <t>σ_monthly × √12</t>
        </is>
      </c>
      <c r="C18" s="5">
        <f>STDEV('2_Monthly_Returns_60M'!E5:E64)*SQRT(12)</f>
        <v/>
      </c>
      <c r="D18" s="22" t="inlineStr"/>
      <c r="E18" s="5" t="inlineStr">
        <is>
          <t>Annual risk</t>
        </is>
      </c>
    </row>
    <row r="19">
      <c r="A19" s="5" t="inlineStr">
        <is>
          <t>Sharpe Ratio</t>
        </is>
      </c>
      <c r="B19" s="5" t="inlineStr">
        <is>
          <t>(Rp-Rf)/σp</t>
        </is>
      </c>
      <c r="C19" s="5">
        <f>(D17-0.04)/D18</f>
        <v/>
      </c>
      <c r="D19" s="22" t="inlineStr"/>
      <c r="E19" s="5" t="inlineStr">
        <is>
          <t>&gt;1 excellent, &gt;0.5 good</t>
        </is>
      </c>
    </row>
    <row r="20">
      <c r="A20" s="5" t="inlineStr">
        <is>
          <t>Sortino Ratio</t>
        </is>
      </c>
      <c r="B20" s="5" t="inlineStr">
        <is>
          <t>(Rp-Rf)/σ_down</t>
        </is>
      </c>
      <c r="C20" s="5">
        <f>(D17-0.04)/D21</f>
        <v/>
      </c>
      <c r="D20" s="22" t="inlineStr"/>
      <c r="E20" s="5" t="inlineStr">
        <is>
          <t>Downside risk-adjusted</t>
        </is>
      </c>
    </row>
    <row r="21">
      <c r="A21" s="5" t="inlineStr">
        <is>
          <t>Downside Deviation</t>
        </is>
      </c>
      <c r="B21" s="5" t="inlineStr">
        <is>
          <t>σ of negative returns</t>
        </is>
      </c>
      <c r="C21" s="5">
        <f>STDEV(IF('2_Monthly_Returns_60M'!E5:E64&lt;0,'2_Monthly_Returns_60M'!E5:E64))*SQRT(12)</f>
        <v/>
      </c>
      <c r="D21" s="22" t="inlineStr"/>
      <c r="E21" s="5" t="inlineStr">
        <is>
          <t>Negative return volatility</t>
        </is>
      </c>
    </row>
    <row r="22">
      <c r="A22" s="5" t="inlineStr">
        <is>
          <t>Max Drawdown</t>
        </is>
      </c>
      <c r="B22" s="5" t="inlineStr">
        <is>
          <t>max(Peak-Trough)/Peak</t>
        </is>
      </c>
      <c r="C22" s="5">
        <f>MAX('7_Drawdown_Analysis'!F7:F66)</f>
        <v/>
      </c>
      <c r="D22" s="22" t="inlineStr"/>
      <c r="E22" s="5" t="inlineStr">
        <is>
          <t>Worst peak-to-trough</t>
        </is>
      </c>
    </row>
    <row r="23">
      <c r="A23" s="5" t="inlineStr">
        <is>
          <t>Calmar Ratio</t>
        </is>
      </c>
      <c r="B23" s="5" t="inlineStr">
        <is>
          <t>Ann.Return/|MaxDD|</t>
        </is>
      </c>
      <c r="C23" s="5">
        <f>D17/D22</f>
        <v/>
      </c>
      <c r="D23" s="22" t="inlineStr"/>
      <c r="E23" s="5" t="inlineStr">
        <is>
          <t>Return per unit drawdown</t>
        </is>
      </c>
    </row>
    <row r="24">
      <c r="A24" s="5" t="inlineStr">
        <is>
          <t>Positive Months</t>
        </is>
      </c>
      <c r="B24" s="5" t="inlineStr">
        <is>
          <t>Count(R&gt;0)</t>
        </is>
      </c>
      <c r="C24" s="5">
        <f>COUNTIF('2_Monthly_Returns_60M'!E5:E64,"&gt;0")</f>
        <v/>
      </c>
      <c r="D24" s="22" t="inlineStr"/>
      <c r="E24" s="5" t="inlineStr">
        <is>
          <t>Winning months</t>
        </is>
      </c>
    </row>
    <row r="25">
      <c r="A25" s="5" t="inlineStr">
        <is>
          <t>Negative Months</t>
        </is>
      </c>
      <c r="B25" s="5" t="inlineStr">
        <is>
          <t>Count(R&lt;0)</t>
        </is>
      </c>
      <c r="C25" s="5">
        <f>COUNTIF('2_Monthly_Returns_60M'!E5:E64,"&lt;0")</f>
        <v/>
      </c>
      <c r="D25" s="22" t="inlineStr"/>
      <c r="E25" s="5" t="inlineStr">
        <is>
          <t>Losing months</t>
        </is>
      </c>
    </row>
    <row r="26">
      <c r="A26" s="5" t="inlineStr">
        <is>
          <t>Win Rate</t>
        </is>
      </c>
      <c r="B26" s="5" t="inlineStr">
        <is>
          <t>Pos/(Pos+Neg)</t>
        </is>
      </c>
      <c r="C26" s="5">
        <f>D24/(D24+D25)</f>
        <v/>
      </c>
      <c r="D26" s="22" t="inlineStr"/>
      <c r="E26" s="5" t="inlineStr">
        <is>
          <t>Percentage of winning months</t>
        </is>
      </c>
    </row>
    <row r="27">
      <c r="A27" s="5" t="inlineStr">
        <is>
          <t>Best Month</t>
        </is>
      </c>
      <c r="B27" s="5" t="inlineStr">
        <is>
          <t>max(Ri)</t>
        </is>
      </c>
      <c r="C27" s="5">
        <f>MAX('2_Monthly_Returns_60M'!E5:E64)</f>
        <v/>
      </c>
      <c r="D27" s="22" t="inlineStr"/>
      <c r="E27" s="5" t="inlineStr">
        <is>
          <t>Highest single month</t>
        </is>
      </c>
    </row>
    <row r="28">
      <c r="A28" s="5" t="inlineStr">
        <is>
          <t>Worst Month</t>
        </is>
      </c>
      <c r="B28" s="5" t="inlineStr">
        <is>
          <t>min(Ri)</t>
        </is>
      </c>
      <c r="C28" s="5">
        <f>MIN('2_Monthly_Returns_60M'!E5:E64)</f>
        <v/>
      </c>
      <c r="D28" s="22" t="inlineStr"/>
      <c r="E28" s="5" t="inlineStr">
        <is>
          <t>Lowest single month</t>
        </is>
      </c>
    </row>
    <row r="29">
      <c r="A29" s="5" t="inlineStr">
        <is>
          <t>Skewness</t>
        </is>
      </c>
      <c r="B29" s="5" t="inlineStr">
        <is>
          <t>Third moment</t>
        </is>
      </c>
      <c r="C29" s="5">
        <f>SKEW('2_Monthly_Returns_60M'!E5:E64)</f>
        <v/>
      </c>
      <c r="D29" s="22" t="inlineStr"/>
      <c r="E29" s="5" t="inlineStr">
        <is>
          <t>Return distribution shape</t>
        </is>
      </c>
    </row>
    <row r="30">
      <c r="A30" s="5" t="inlineStr">
        <is>
          <t>Kurtosis</t>
        </is>
      </c>
      <c r="B30" s="5" t="inlineStr">
        <is>
          <t>Fourth moment</t>
        </is>
      </c>
      <c r="C30" s="5">
        <f>KURT('2_Monthly_Returns_60M'!E5:E64)</f>
        <v/>
      </c>
      <c r="D30" s="22" t="inlineStr"/>
      <c r="E30" s="5" t="inlineStr">
        <is>
          <t>Fat tails measure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3" t="inlineStr">
        <is>
          <t>COMPLETE DRAWDOWN ANALYSIS - 60 MONTHS</t>
        </is>
      </c>
    </row>
    <row r="3">
      <c r="A3" s="32" t="inlineStr">
        <is>
          <t>Formula: Drawdown = (Current Value - Peak Value) / Peak Value</t>
        </is>
      </c>
    </row>
    <row r="5">
      <c r="A5" s="8" t="inlineStr">
        <is>
          <t>#</t>
        </is>
      </c>
      <c r="B5" s="8" t="inlineStr">
        <is>
          <t>Date</t>
        </is>
      </c>
      <c r="C5" s="8" t="inlineStr">
        <is>
          <t>Month</t>
        </is>
      </c>
      <c r="D5" s="8" t="inlineStr">
        <is>
          <t>Return</t>
        </is>
      </c>
      <c r="E5" s="8" t="inlineStr">
        <is>
          <t>Cum Value</t>
        </is>
      </c>
      <c r="F5" s="8" t="inlineStr">
        <is>
          <t>Running Peak</t>
        </is>
      </c>
      <c r="G5" s="8" t="inlineStr">
        <is>
          <t>Drawdown</t>
        </is>
      </c>
      <c r="H5" s="8" t="inlineStr">
        <is>
          <t>In Drawdown?</t>
        </is>
      </c>
    </row>
    <row r="6">
      <c r="A6" s="5" t="n">
        <v>1</v>
      </c>
      <c r="B6" s="12" t="n">
        <v>43861</v>
      </c>
      <c r="C6" s="5" t="inlineStr">
        <is>
          <t>Jan 2020</t>
        </is>
      </c>
      <c r="D6" s="14" t="n">
        <v>0.012</v>
      </c>
      <c r="E6" s="15">
        <f>1+D6</f>
        <v/>
      </c>
      <c r="F6" s="15">
        <f>E6</f>
        <v/>
      </c>
      <c r="G6" s="14">
        <f>(E6-F6)/F6</f>
        <v/>
      </c>
      <c r="H6" s="5">
        <f>IF(G6&lt;0,"YES","NO")</f>
        <v/>
      </c>
    </row>
    <row r="7">
      <c r="A7" s="5" t="n">
        <v>2</v>
      </c>
      <c r="B7" s="12" t="n">
        <v>43890</v>
      </c>
      <c r="C7" s="5" t="inlineStr">
        <is>
          <t>Feb 2020</t>
        </is>
      </c>
      <c r="D7" s="14" t="n">
        <v>0.008</v>
      </c>
      <c r="E7" s="15">
        <f>E6*(1+D7)</f>
        <v/>
      </c>
      <c r="F7" s="15">
        <f>MAX(F6,E7)</f>
        <v/>
      </c>
      <c r="G7" s="14">
        <f>(E7-F7)/F7</f>
        <v/>
      </c>
      <c r="H7" s="5">
        <f>IF(G7&lt;0,"YES","NO")</f>
        <v/>
      </c>
    </row>
    <row r="8">
      <c r="A8" s="5" t="n">
        <v>3</v>
      </c>
      <c r="B8" s="12" t="n">
        <v>43921</v>
      </c>
      <c r="C8" s="5" t="inlineStr">
        <is>
          <t>Mar 2020</t>
        </is>
      </c>
      <c r="D8" s="14" t="n">
        <v>-0.035</v>
      </c>
      <c r="E8" s="15">
        <f>E7*(1+D8)</f>
        <v/>
      </c>
      <c r="F8" s="15">
        <f>MAX(F7,E8)</f>
        <v/>
      </c>
      <c r="G8" s="14">
        <f>(E8-F8)/F8</f>
        <v/>
      </c>
      <c r="H8" s="5">
        <f>IF(G8&lt;0,"YES","NO")</f>
        <v/>
      </c>
    </row>
    <row r="9">
      <c r="A9" s="5" t="n">
        <v>4</v>
      </c>
      <c r="B9" s="12" t="n">
        <v>43951</v>
      </c>
      <c r="C9" s="5" t="inlineStr">
        <is>
          <t>Apr 2020</t>
        </is>
      </c>
      <c r="D9" s="14" t="n">
        <v>0.045</v>
      </c>
      <c r="E9" s="15">
        <f>E8*(1+D9)</f>
        <v/>
      </c>
      <c r="F9" s="15">
        <f>MAX(F8,E9)</f>
        <v/>
      </c>
      <c r="G9" s="14">
        <f>(E9-F9)/F9</f>
        <v/>
      </c>
      <c r="H9" s="5">
        <f>IF(G9&lt;0,"YES","NO")</f>
        <v/>
      </c>
    </row>
    <row r="10">
      <c r="A10" s="5" t="n">
        <v>5</v>
      </c>
      <c r="B10" s="12" t="n">
        <v>43982</v>
      </c>
      <c r="C10" s="5" t="inlineStr">
        <is>
          <t>May 2020</t>
        </is>
      </c>
      <c r="D10" s="14" t="n">
        <v>0.028</v>
      </c>
      <c r="E10" s="15">
        <f>E9*(1+D10)</f>
        <v/>
      </c>
      <c r="F10" s="15">
        <f>MAX(F9,E10)</f>
        <v/>
      </c>
      <c r="G10" s="14">
        <f>(E10-F10)/F10</f>
        <v/>
      </c>
      <c r="H10" s="5">
        <f>IF(G10&lt;0,"YES","NO")</f>
        <v/>
      </c>
    </row>
    <row r="11">
      <c r="A11" s="5" t="n">
        <v>6</v>
      </c>
      <c r="B11" s="12" t="n">
        <v>44012</v>
      </c>
      <c r="C11" s="5" t="inlineStr">
        <is>
          <t>Jun 2020</t>
        </is>
      </c>
      <c r="D11" s="14" t="n">
        <v>0.015</v>
      </c>
      <c r="E11" s="15">
        <f>E10*(1+D11)</f>
        <v/>
      </c>
      <c r="F11" s="15">
        <f>MAX(F10,E11)</f>
        <v/>
      </c>
      <c r="G11" s="14">
        <f>(E11-F11)/F11</f>
        <v/>
      </c>
      <c r="H11" s="5">
        <f>IF(G11&lt;0,"YES","NO")</f>
        <v/>
      </c>
    </row>
    <row r="12">
      <c r="A12" s="5" t="n">
        <v>7</v>
      </c>
      <c r="B12" s="12" t="n">
        <v>44043</v>
      </c>
      <c r="C12" s="5" t="inlineStr">
        <is>
          <t>Jul 2020</t>
        </is>
      </c>
      <c r="D12" s="14" t="n">
        <v>0.022</v>
      </c>
      <c r="E12" s="15">
        <f>E11*(1+D12)</f>
        <v/>
      </c>
      <c r="F12" s="15">
        <f>MAX(F11,E12)</f>
        <v/>
      </c>
      <c r="G12" s="14">
        <f>(E12-F12)/F12</f>
        <v/>
      </c>
      <c r="H12" s="5">
        <f>IF(G12&lt;0,"YES","NO")</f>
        <v/>
      </c>
    </row>
    <row r="13">
      <c r="A13" s="5" t="n">
        <v>8</v>
      </c>
      <c r="B13" s="12" t="n">
        <v>44074</v>
      </c>
      <c r="C13" s="5" t="inlineStr">
        <is>
          <t>Aug 2020</t>
        </is>
      </c>
      <c r="D13" s="14" t="n">
        <v>0.018</v>
      </c>
      <c r="E13" s="15">
        <f>E12*(1+D13)</f>
        <v/>
      </c>
      <c r="F13" s="15">
        <f>MAX(F12,E13)</f>
        <v/>
      </c>
      <c r="G13" s="14">
        <f>(E13-F13)/F13</f>
        <v/>
      </c>
      <c r="H13" s="5">
        <f>IF(G13&lt;0,"YES","NO")</f>
        <v/>
      </c>
    </row>
    <row r="14">
      <c r="A14" s="5" t="n">
        <v>9</v>
      </c>
      <c r="B14" s="12" t="n">
        <v>44104</v>
      </c>
      <c r="C14" s="5" t="inlineStr">
        <is>
          <t>Sep 2020</t>
        </is>
      </c>
      <c r="D14" s="14" t="n">
        <v>-0.012</v>
      </c>
      <c r="E14" s="15">
        <f>E13*(1+D14)</f>
        <v/>
      </c>
      <c r="F14" s="15">
        <f>MAX(F13,E14)</f>
        <v/>
      </c>
      <c r="G14" s="14">
        <f>(E14-F14)/F14</f>
        <v/>
      </c>
      <c r="H14" s="5">
        <f>IF(G14&lt;0,"YES","NO")</f>
        <v/>
      </c>
    </row>
    <row r="15">
      <c r="A15" s="5" t="n">
        <v>10</v>
      </c>
      <c r="B15" s="12" t="n">
        <v>44135</v>
      </c>
      <c r="C15" s="5" t="inlineStr">
        <is>
          <t>Oct 2020</t>
        </is>
      </c>
      <c r="D15" s="14" t="n">
        <v>0.025</v>
      </c>
      <c r="E15" s="15">
        <f>E14*(1+D15)</f>
        <v/>
      </c>
      <c r="F15" s="15">
        <f>MAX(F14,E15)</f>
        <v/>
      </c>
      <c r="G15" s="14">
        <f>(E15-F15)/F15</f>
        <v/>
      </c>
      <c r="H15" s="5">
        <f>IF(G15&lt;0,"YES","NO")</f>
        <v/>
      </c>
    </row>
    <row r="16">
      <c r="A16" s="5" t="n">
        <v>11</v>
      </c>
      <c r="B16" s="12" t="n">
        <v>44165</v>
      </c>
      <c r="C16" s="5" t="inlineStr">
        <is>
          <t>Nov 2020</t>
        </is>
      </c>
      <c r="D16" s="14" t="n">
        <v>0.032</v>
      </c>
      <c r="E16" s="15">
        <f>E15*(1+D16)</f>
        <v/>
      </c>
      <c r="F16" s="15">
        <f>MAX(F15,E16)</f>
        <v/>
      </c>
      <c r="G16" s="14">
        <f>(E16-F16)/F16</f>
        <v/>
      </c>
      <c r="H16" s="5">
        <f>IF(G16&lt;0,"YES","NO")</f>
        <v/>
      </c>
    </row>
    <row r="17">
      <c r="A17" s="5" t="n">
        <v>12</v>
      </c>
      <c r="B17" s="12" t="n">
        <v>44196</v>
      </c>
      <c r="C17" s="5" t="inlineStr">
        <is>
          <t>Dec 2020</t>
        </is>
      </c>
      <c r="D17" s="14" t="n">
        <v>0.008</v>
      </c>
      <c r="E17" s="15">
        <f>E16*(1+D17)</f>
        <v/>
      </c>
      <c r="F17" s="15">
        <f>MAX(F16,E17)</f>
        <v/>
      </c>
      <c r="G17" s="14">
        <f>(E17-F17)/F17</f>
        <v/>
      </c>
      <c r="H17" s="5">
        <f>IF(G17&lt;0,"YES","NO")</f>
        <v/>
      </c>
    </row>
    <row r="18">
      <c r="A18" s="5" t="n">
        <v>13</v>
      </c>
      <c r="B18" s="12" t="n">
        <v>44227</v>
      </c>
      <c r="C18" s="5" t="inlineStr">
        <is>
          <t>Jan 2021</t>
        </is>
      </c>
      <c r="D18" s="14" t="n">
        <v>0.018</v>
      </c>
      <c r="E18" s="15">
        <f>E17*(1+D18)</f>
        <v/>
      </c>
      <c r="F18" s="15">
        <f>MAX(F17,E18)</f>
        <v/>
      </c>
      <c r="G18" s="14">
        <f>(E18-F18)/F18</f>
        <v/>
      </c>
      <c r="H18" s="5">
        <f>IF(G18&lt;0,"YES","NO")</f>
        <v/>
      </c>
    </row>
    <row r="19">
      <c r="A19" s="5" t="n">
        <v>14</v>
      </c>
      <c r="B19" s="12" t="n">
        <v>44255</v>
      </c>
      <c r="C19" s="5" t="inlineStr">
        <is>
          <t>Feb 2021</t>
        </is>
      </c>
      <c r="D19" s="14" t="n">
        <v>0.022</v>
      </c>
      <c r="E19" s="15">
        <f>E18*(1+D19)</f>
        <v/>
      </c>
      <c r="F19" s="15">
        <f>MAX(F18,E19)</f>
        <v/>
      </c>
      <c r="G19" s="14">
        <f>(E19-F19)/F19</f>
        <v/>
      </c>
      <c r="H19" s="5">
        <f>IF(G19&lt;0,"YES","NO")</f>
        <v/>
      </c>
    </row>
    <row r="20">
      <c r="A20" s="5" t="n">
        <v>15</v>
      </c>
      <c r="B20" s="12" t="n">
        <v>44286</v>
      </c>
      <c r="C20" s="5" t="inlineStr">
        <is>
          <t>Mar 2021</t>
        </is>
      </c>
      <c r="D20" s="14" t="n">
        <v>0.015</v>
      </c>
      <c r="E20" s="15">
        <f>E19*(1+D20)</f>
        <v/>
      </c>
      <c r="F20" s="15">
        <f>MAX(F19,E20)</f>
        <v/>
      </c>
      <c r="G20" s="14">
        <f>(E20-F20)/F20</f>
        <v/>
      </c>
      <c r="H20" s="5">
        <f>IF(G20&lt;0,"YES","NO")</f>
        <v/>
      </c>
    </row>
    <row r="21">
      <c r="A21" s="5" t="n">
        <v>16</v>
      </c>
      <c r="B21" s="12" t="n">
        <v>44316</v>
      </c>
      <c r="C21" s="5" t="inlineStr">
        <is>
          <t>Apr 2021</t>
        </is>
      </c>
      <c r="D21" s="14" t="n">
        <v>0.028</v>
      </c>
      <c r="E21" s="15">
        <f>E20*(1+D21)</f>
        <v/>
      </c>
      <c r="F21" s="15">
        <f>MAX(F20,E21)</f>
        <v/>
      </c>
      <c r="G21" s="14">
        <f>(E21-F21)/F21</f>
        <v/>
      </c>
      <c r="H21" s="5">
        <f>IF(G21&lt;0,"YES","NO")</f>
        <v/>
      </c>
    </row>
    <row r="22">
      <c r="A22" s="5" t="n">
        <v>17</v>
      </c>
      <c r="B22" s="12" t="n">
        <v>44347</v>
      </c>
      <c r="C22" s="5" t="inlineStr">
        <is>
          <t>May 2021</t>
        </is>
      </c>
      <c r="D22" s="14" t="n">
        <v>-0.008</v>
      </c>
      <c r="E22" s="15">
        <f>E21*(1+D22)</f>
        <v/>
      </c>
      <c r="F22" s="15">
        <f>MAX(F21,E22)</f>
        <v/>
      </c>
      <c r="G22" s="14">
        <f>(E22-F22)/F22</f>
        <v/>
      </c>
      <c r="H22" s="5">
        <f>IF(G22&lt;0,"YES","NO")</f>
        <v/>
      </c>
    </row>
    <row r="23">
      <c r="A23" s="5" t="n">
        <v>18</v>
      </c>
      <c r="B23" s="12" t="n">
        <v>44377</v>
      </c>
      <c r="C23" s="5" t="inlineStr">
        <is>
          <t>Jun 2021</t>
        </is>
      </c>
      <c r="D23" s="14" t="n">
        <v>0.032</v>
      </c>
      <c r="E23" s="15">
        <f>E22*(1+D23)</f>
        <v/>
      </c>
      <c r="F23" s="15">
        <f>MAX(F22,E23)</f>
        <v/>
      </c>
      <c r="G23" s="14">
        <f>(E23-F23)/F23</f>
        <v/>
      </c>
      <c r="H23" s="5">
        <f>IF(G23&lt;0,"YES","NO")</f>
        <v/>
      </c>
    </row>
    <row r="24">
      <c r="A24" s="5" t="n">
        <v>19</v>
      </c>
      <c r="B24" s="12" t="n">
        <v>44408</v>
      </c>
      <c r="C24" s="5" t="inlineStr">
        <is>
          <t>Jul 2021</t>
        </is>
      </c>
      <c r="D24" s="14" t="n">
        <v>0.012</v>
      </c>
      <c r="E24" s="15">
        <f>E23*(1+D24)</f>
        <v/>
      </c>
      <c r="F24" s="15">
        <f>MAX(F23,E24)</f>
        <v/>
      </c>
      <c r="G24" s="14">
        <f>(E24-F24)/F24</f>
        <v/>
      </c>
      <c r="H24" s="5">
        <f>IF(G24&lt;0,"YES","NO")</f>
        <v/>
      </c>
    </row>
    <row r="25">
      <c r="A25" s="5" t="n">
        <v>20</v>
      </c>
      <c r="B25" s="12" t="n">
        <v>44439</v>
      </c>
      <c r="C25" s="5" t="inlineStr">
        <is>
          <t>Aug 2021</t>
        </is>
      </c>
      <c r="D25" s="14" t="n">
        <v>0.025</v>
      </c>
      <c r="E25" s="15">
        <f>E24*(1+D25)</f>
        <v/>
      </c>
      <c r="F25" s="15">
        <f>MAX(F24,E25)</f>
        <v/>
      </c>
      <c r="G25" s="14">
        <f>(E25-F25)/F25</f>
        <v/>
      </c>
      <c r="H25" s="5">
        <f>IF(G25&lt;0,"YES","NO")</f>
        <v/>
      </c>
    </row>
    <row r="26">
      <c r="A26" s="5" t="n">
        <v>21</v>
      </c>
      <c r="B26" s="12" t="n">
        <v>44469</v>
      </c>
      <c r="C26" s="5" t="inlineStr">
        <is>
          <t>Sep 2021</t>
        </is>
      </c>
      <c r="D26" s="14" t="n">
        <v>-0.015</v>
      </c>
      <c r="E26" s="15">
        <f>E25*(1+D26)</f>
        <v/>
      </c>
      <c r="F26" s="15">
        <f>MAX(F25,E26)</f>
        <v/>
      </c>
      <c r="G26" s="14">
        <f>(E26-F26)/F26</f>
        <v/>
      </c>
      <c r="H26" s="5">
        <f>IF(G26&lt;0,"YES","NO")</f>
        <v/>
      </c>
    </row>
    <row r="27">
      <c r="A27" s="5" t="n">
        <v>22</v>
      </c>
      <c r="B27" s="12" t="n">
        <v>44500</v>
      </c>
      <c r="C27" s="5" t="inlineStr">
        <is>
          <t>Oct 2021</t>
        </is>
      </c>
      <c r="D27" s="14" t="n">
        <v>0.038</v>
      </c>
      <c r="E27" s="15">
        <f>E26*(1+D27)</f>
        <v/>
      </c>
      <c r="F27" s="15">
        <f>MAX(F26,E27)</f>
        <v/>
      </c>
      <c r="G27" s="14">
        <f>(E27-F27)/F27</f>
        <v/>
      </c>
      <c r="H27" s="5">
        <f>IF(G27&lt;0,"YES","NO")</f>
        <v/>
      </c>
    </row>
    <row r="28">
      <c r="A28" s="5" t="n">
        <v>23</v>
      </c>
      <c r="B28" s="12" t="n">
        <v>44530</v>
      </c>
      <c r="C28" s="5" t="inlineStr">
        <is>
          <t>Nov 2021</t>
        </is>
      </c>
      <c r="D28" s="14" t="n">
        <v>0.022</v>
      </c>
      <c r="E28" s="15">
        <f>E27*(1+D28)</f>
        <v/>
      </c>
      <c r="F28" s="15">
        <f>MAX(F27,E28)</f>
        <v/>
      </c>
      <c r="G28" s="14">
        <f>(E28-F28)/F28</f>
        <v/>
      </c>
      <c r="H28" s="5">
        <f>IF(G28&lt;0,"YES","NO")</f>
        <v/>
      </c>
    </row>
    <row r="29">
      <c r="A29" s="5" t="n">
        <v>24</v>
      </c>
      <c r="B29" s="12" t="n">
        <v>44561</v>
      </c>
      <c r="C29" s="5" t="inlineStr">
        <is>
          <t>Dec 2021</t>
        </is>
      </c>
      <c r="D29" s="14" t="n">
        <v>0.015</v>
      </c>
      <c r="E29" s="15">
        <f>E28*(1+D29)</f>
        <v/>
      </c>
      <c r="F29" s="15">
        <f>MAX(F28,E29)</f>
        <v/>
      </c>
      <c r="G29" s="14">
        <f>(E29-F29)/F29</f>
        <v/>
      </c>
      <c r="H29" s="5">
        <f>IF(G29&lt;0,"YES","NO")</f>
        <v/>
      </c>
    </row>
    <row r="30">
      <c r="A30" s="5" t="n">
        <v>25</v>
      </c>
      <c r="B30" s="12" t="n">
        <v>44592</v>
      </c>
      <c r="C30" s="5" t="inlineStr">
        <is>
          <t>Jan 2022</t>
        </is>
      </c>
      <c r="D30" s="14" t="n">
        <v>-0.025</v>
      </c>
      <c r="E30" s="15">
        <f>E29*(1+D30)</f>
        <v/>
      </c>
      <c r="F30" s="15">
        <f>MAX(F29,E30)</f>
        <v/>
      </c>
      <c r="G30" s="14">
        <f>(E30-F30)/F30</f>
        <v/>
      </c>
      <c r="H30" s="5">
        <f>IF(G30&lt;0,"YES","NO")</f>
        <v/>
      </c>
    </row>
    <row r="31">
      <c r="A31" s="5" t="n">
        <v>26</v>
      </c>
      <c r="B31" s="12" t="n">
        <v>44620</v>
      </c>
      <c r="C31" s="5" t="inlineStr">
        <is>
          <t>Feb 2022</t>
        </is>
      </c>
      <c r="D31" s="14" t="n">
        <v>-0.018</v>
      </c>
      <c r="E31" s="15">
        <f>E30*(1+D31)</f>
        <v/>
      </c>
      <c r="F31" s="15">
        <f>MAX(F30,E31)</f>
        <v/>
      </c>
      <c r="G31" s="14">
        <f>(E31-F31)/F31</f>
        <v/>
      </c>
      <c r="H31" s="5">
        <f>IF(G31&lt;0,"YES","NO")</f>
        <v/>
      </c>
    </row>
    <row r="32">
      <c r="A32" s="5" t="n">
        <v>27</v>
      </c>
      <c r="B32" s="12" t="n">
        <v>44651</v>
      </c>
      <c r="C32" s="5" t="inlineStr">
        <is>
          <t>Mar 2022</t>
        </is>
      </c>
      <c r="D32" s="14" t="n">
        <v>0.012</v>
      </c>
      <c r="E32" s="15">
        <f>E31*(1+D32)</f>
        <v/>
      </c>
      <c r="F32" s="15">
        <f>MAX(F31,E32)</f>
        <v/>
      </c>
      <c r="G32" s="14">
        <f>(E32-F32)/F32</f>
        <v/>
      </c>
      <c r="H32" s="5">
        <f>IF(G32&lt;0,"YES","NO")</f>
        <v/>
      </c>
    </row>
    <row r="33">
      <c r="A33" s="5" t="n">
        <v>28</v>
      </c>
      <c r="B33" s="12" t="n">
        <v>44681</v>
      </c>
      <c r="C33" s="5" t="inlineStr">
        <is>
          <t>Apr 2022</t>
        </is>
      </c>
      <c r="D33" s="14" t="n">
        <v>-0.032</v>
      </c>
      <c r="E33" s="15">
        <f>E32*(1+D33)</f>
        <v/>
      </c>
      <c r="F33" s="15">
        <f>MAX(F32,E33)</f>
        <v/>
      </c>
      <c r="G33" s="14">
        <f>(E33-F33)/F33</f>
        <v/>
      </c>
      <c r="H33" s="5">
        <f>IF(G33&lt;0,"YES","NO")</f>
        <v/>
      </c>
    </row>
    <row r="34">
      <c r="A34" s="5" t="n">
        <v>29</v>
      </c>
      <c r="B34" s="12" t="n">
        <v>44712</v>
      </c>
      <c r="C34" s="5" t="inlineStr">
        <is>
          <t>May 2022</t>
        </is>
      </c>
      <c r="D34" s="14" t="n">
        <v>-0.015</v>
      </c>
      <c r="E34" s="15">
        <f>E33*(1+D34)</f>
        <v/>
      </c>
      <c r="F34" s="15">
        <f>MAX(F33,E34)</f>
        <v/>
      </c>
      <c r="G34" s="14">
        <f>(E34-F34)/F34</f>
        <v/>
      </c>
      <c r="H34" s="5">
        <f>IF(G34&lt;0,"YES","NO")</f>
        <v/>
      </c>
    </row>
    <row r="35">
      <c r="A35" s="5" t="n">
        <v>30</v>
      </c>
      <c r="B35" s="12" t="n">
        <v>44742</v>
      </c>
      <c r="C35" s="5" t="inlineStr">
        <is>
          <t>Jun 2022</t>
        </is>
      </c>
      <c r="D35" s="14" t="n">
        <v>-0.022</v>
      </c>
      <c r="E35" s="15">
        <f>E34*(1+D35)</f>
        <v/>
      </c>
      <c r="F35" s="15">
        <f>MAX(F34,E35)</f>
        <v/>
      </c>
      <c r="G35" s="14">
        <f>(E35-F35)/F35</f>
        <v/>
      </c>
      <c r="H35" s="5">
        <f>IF(G35&lt;0,"YES","NO")</f>
        <v/>
      </c>
    </row>
    <row r="36">
      <c r="A36" s="5" t="n">
        <v>31</v>
      </c>
      <c r="B36" s="12" t="n">
        <v>44773</v>
      </c>
      <c r="C36" s="5" t="inlineStr">
        <is>
          <t>Jul 2022</t>
        </is>
      </c>
      <c r="D36" s="14" t="n">
        <v>0.018</v>
      </c>
      <c r="E36" s="15">
        <f>E35*(1+D36)</f>
        <v/>
      </c>
      <c r="F36" s="15">
        <f>MAX(F35,E36)</f>
        <v/>
      </c>
      <c r="G36" s="14">
        <f>(E36-F36)/F36</f>
        <v/>
      </c>
      <c r="H36" s="5">
        <f>IF(G36&lt;0,"YES","NO")</f>
        <v/>
      </c>
    </row>
    <row r="37">
      <c r="A37" s="5" t="n">
        <v>32</v>
      </c>
      <c r="B37" s="12" t="n">
        <v>44804</v>
      </c>
      <c r="C37" s="5" t="inlineStr">
        <is>
          <t>Aug 2022</t>
        </is>
      </c>
      <c r="D37" s="14" t="n">
        <v>0.008</v>
      </c>
      <c r="E37" s="15">
        <f>E36*(1+D37)</f>
        <v/>
      </c>
      <c r="F37" s="15">
        <f>MAX(F36,E37)</f>
        <v/>
      </c>
      <c r="G37" s="14">
        <f>(E37-F37)/F37</f>
        <v/>
      </c>
      <c r="H37" s="5">
        <f>IF(G37&lt;0,"YES","NO")</f>
        <v/>
      </c>
    </row>
    <row r="38">
      <c r="A38" s="5" t="n">
        <v>33</v>
      </c>
      <c r="B38" s="12" t="n">
        <v>44834</v>
      </c>
      <c r="C38" s="5" t="inlineStr">
        <is>
          <t>Sep 2022</t>
        </is>
      </c>
      <c r="D38" s="14" t="n">
        <v>-0.028</v>
      </c>
      <c r="E38" s="15">
        <f>E37*(1+D38)</f>
        <v/>
      </c>
      <c r="F38" s="15">
        <f>MAX(F37,E38)</f>
        <v/>
      </c>
      <c r="G38" s="14">
        <f>(E38-F38)/F38</f>
        <v/>
      </c>
      <c r="H38" s="5">
        <f>IF(G38&lt;0,"YES","NO")</f>
        <v/>
      </c>
    </row>
    <row r="39">
      <c r="A39" s="5" t="n">
        <v>34</v>
      </c>
      <c r="B39" s="12" t="n">
        <v>44865</v>
      </c>
      <c r="C39" s="5" t="inlineStr">
        <is>
          <t>Oct 2022</t>
        </is>
      </c>
      <c r="D39" s="14" t="n">
        <v>0.015</v>
      </c>
      <c r="E39" s="15">
        <f>E38*(1+D39)</f>
        <v/>
      </c>
      <c r="F39" s="15">
        <f>MAX(F38,E39)</f>
        <v/>
      </c>
      <c r="G39" s="14">
        <f>(E39-F39)/F39</f>
        <v/>
      </c>
      <c r="H39" s="5">
        <f>IF(G39&lt;0,"YES","NO")</f>
        <v/>
      </c>
    </row>
    <row r="40">
      <c r="A40" s="5" t="n">
        <v>35</v>
      </c>
      <c r="B40" s="12" t="n">
        <v>44895</v>
      </c>
      <c r="C40" s="5" t="inlineStr">
        <is>
          <t>Nov 2022</t>
        </is>
      </c>
      <c r="D40" s="14" t="n">
        <v>0.022</v>
      </c>
      <c r="E40" s="15">
        <f>E39*(1+D40)</f>
        <v/>
      </c>
      <c r="F40" s="15">
        <f>MAX(F39,E40)</f>
        <v/>
      </c>
      <c r="G40" s="14">
        <f>(E40-F40)/F40</f>
        <v/>
      </c>
      <c r="H40" s="5">
        <f>IF(G40&lt;0,"YES","NO")</f>
        <v/>
      </c>
    </row>
    <row r="41">
      <c r="A41" s="5" t="n">
        <v>36</v>
      </c>
      <c r="B41" s="12" t="n">
        <v>44926</v>
      </c>
      <c r="C41" s="5" t="inlineStr">
        <is>
          <t>Dec 2022</t>
        </is>
      </c>
      <c r="D41" s="14" t="n">
        <v>-0.012</v>
      </c>
      <c r="E41" s="15">
        <f>E40*(1+D41)</f>
        <v/>
      </c>
      <c r="F41" s="15">
        <f>MAX(F40,E41)</f>
        <v/>
      </c>
      <c r="G41" s="14">
        <f>(E41-F41)/F41</f>
        <v/>
      </c>
      <c r="H41" s="5">
        <f>IF(G41&lt;0,"YES","NO")</f>
        <v/>
      </c>
    </row>
    <row r="42">
      <c r="A42" s="5" t="n">
        <v>37</v>
      </c>
      <c r="B42" s="12" t="n">
        <v>44957</v>
      </c>
      <c r="C42" s="5" t="inlineStr">
        <is>
          <t>Jan 2023</t>
        </is>
      </c>
      <c r="D42" s="14" t="n">
        <v>0.028</v>
      </c>
      <c r="E42" s="15">
        <f>E41*(1+D42)</f>
        <v/>
      </c>
      <c r="F42" s="15">
        <f>MAX(F41,E42)</f>
        <v/>
      </c>
      <c r="G42" s="14">
        <f>(E42-F42)/F42</f>
        <v/>
      </c>
      <c r="H42" s="5">
        <f>IF(G42&lt;0,"YES","NO")</f>
        <v/>
      </c>
    </row>
    <row r="43">
      <c r="A43" s="5" t="n">
        <v>38</v>
      </c>
      <c r="B43" s="12" t="n">
        <v>44985</v>
      </c>
      <c r="C43" s="5" t="inlineStr">
        <is>
          <t>Feb 2023</t>
        </is>
      </c>
      <c r="D43" s="14" t="n">
        <v>0.015</v>
      </c>
      <c r="E43" s="15">
        <f>E42*(1+D43)</f>
        <v/>
      </c>
      <c r="F43" s="15">
        <f>MAX(F42,E43)</f>
        <v/>
      </c>
      <c r="G43" s="14">
        <f>(E43-F43)/F43</f>
        <v/>
      </c>
      <c r="H43" s="5">
        <f>IF(G43&lt;0,"YES","NO")</f>
        <v/>
      </c>
    </row>
    <row r="44">
      <c r="A44" s="5" t="n">
        <v>39</v>
      </c>
      <c r="B44" s="12" t="n">
        <v>45016</v>
      </c>
      <c r="C44" s="5" t="inlineStr">
        <is>
          <t>Mar 2023</t>
        </is>
      </c>
      <c r="D44" s="14" t="n">
        <v>0.022</v>
      </c>
      <c r="E44" s="15">
        <f>E43*(1+D44)</f>
        <v/>
      </c>
      <c r="F44" s="15">
        <f>MAX(F43,E44)</f>
        <v/>
      </c>
      <c r="G44" s="14">
        <f>(E44-F44)/F44</f>
        <v/>
      </c>
      <c r="H44" s="5">
        <f>IF(G44&lt;0,"YES","NO")</f>
        <v/>
      </c>
    </row>
    <row r="45">
      <c r="A45" s="5" t="n">
        <v>40</v>
      </c>
      <c r="B45" s="12" t="n">
        <v>45046</v>
      </c>
      <c r="C45" s="5" t="inlineStr">
        <is>
          <t>Apr 2023</t>
        </is>
      </c>
      <c r="D45" s="14" t="n">
        <v>-0.008</v>
      </c>
      <c r="E45" s="15">
        <f>E44*(1+D45)</f>
        <v/>
      </c>
      <c r="F45" s="15">
        <f>MAX(F44,E45)</f>
        <v/>
      </c>
      <c r="G45" s="14">
        <f>(E45-F45)/F45</f>
        <v/>
      </c>
      <c r="H45" s="5">
        <f>IF(G45&lt;0,"YES","NO")</f>
        <v/>
      </c>
    </row>
    <row r="46">
      <c r="A46" s="5" t="n">
        <v>41</v>
      </c>
      <c r="B46" s="12" t="n">
        <v>45077</v>
      </c>
      <c r="C46" s="5" t="inlineStr">
        <is>
          <t>May 2023</t>
        </is>
      </c>
      <c r="D46" s="14" t="n">
        <v>0.032</v>
      </c>
      <c r="E46" s="15">
        <f>E45*(1+D46)</f>
        <v/>
      </c>
      <c r="F46" s="15">
        <f>MAX(F45,E46)</f>
        <v/>
      </c>
      <c r="G46" s="14">
        <f>(E46-F46)/F46</f>
        <v/>
      </c>
      <c r="H46" s="5">
        <f>IF(G46&lt;0,"YES","NO")</f>
        <v/>
      </c>
    </row>
    <row r="47">
      <c r="A47" s="5" t="n">
        <v>42</v>
      </c>
      <c r="B47" s="12" t="n">
        <v>45107</v>
      </c>
      <c r="C47" s="5" t="inlineStr">
        <is>
          <t>Jun 2023</t>
        </is>
      </c>
      <c r="D47" s="14" t="n">
        <v>0.018</v>
      </c>
      <c r="E47" s="15">
        <f>E46*(1+D47)</f>
        <v/>
      </c>
      <c r="F47" s="15">
        <f>MAX(F46,E47)</f>
        <v/>
      </c>
      <c r="G47" s="14">
        <f>(E47-F47)/F47</f>
        <v/>
      </c>
      <c r="H47" s="5">
        <f>IF(G47&lt;0,"YES","NO")</f>
        <v/>
      </c>
    </row>
    <row r="48">
      <c r="A48" s="5" t="n">
        <v>43</v>
      </c>
      <c r="B48" s="12" t="n">
        <v>45138</v>
      </c>
      <c r="C48" s="5" t="inlineStr">
        <is>
          <t>Jul 2023</t>
        </is>
      </c>
      <c r="D48" s="14" t="n">
        <v>0.025</v>
      </c>
      <c r="E48" s="15">
        <f>E47*(1+D48)</f>
        <v/>
      </c>
      <c r="F48" s="15">
        <f>MAX(F47,E48)</f>
        <v/>
      </c>
      <c r="G48" s="14">
        <f>(E48-F48)/F48</f>
        <v/>
      </c>
      <c r="H48" s="5">
        <f>IF(G48&lt;0,"YES","NO")</f>
        <v/>
      </c>
    </row>
    <row r="49">
      <c r="A49" s="5" t="n">
        <v>44</v>
      </c>
      <c r="B49" s="12" t="n">
        <v>45169</v>
      </c>
      <c r="C49" s="5" t="inlineStr">
        <is>
          <t>Aug 2023</t>
        </is>
      </c>
      <c r="D49" s="14" t="n">
        <v>-0.012</v>
      </c>
      <c r="E49" s="15">
        <f>E48*(1+D49)</f>
        <v/>
      </c>
      <c r="F49" s="15">
        <f>MAX(F48,E49)</f>
        <v/>
      </c>
      <c r="G49" s="14">
        <f>(E49-F49)/F49</f>
        <v/>
      </c>
      <c r="H49" s="5">
        <f>IF(G49&lt;0,"YES","NO")</f>
        <v/>
      </c>
    </row>
    <row r="50">
      <c r="A50" s="5" t="n">
        <v>45</v>
      </c>
      <c r="B50" s="12" t="n">
        <v>45199</v>
      </c>
      <c r="C50" s="5" t="inlineStr">
        <is>
          <t>Sep 2023</t>
        </is>
      </c>
      <c r="D50" s="14" t="n">
        <v>0.015</v>
      </c>
      <c r="E50" s="15">
        <f>E49*(1+D50)</f>
        <v/>
      </c>
      <c r="F50" s="15">
        <f>MAX(F49,E50)</f>
        <v/>
      </c>
      <c r="G50" s="14">
        <f>(E50-F50)/F50</f>
        <v/>
      </c>
      <c r="H50" s="5">
        <f>IF(G50&lt;0,"YES","NO")</f>
        <v/>
      </c>
    </row>
    <row r="51">
      <c r="A51" s="5" t="n">
        <v>46</v>
      </c>
      <c r="B51" s="12" t="n">
        <v>45230</v>
      </c>
      <c r="C51" s="5" t="inlineStr">
        <is>
          <t>Oct 2023</t>
        </is>
      </c>
      <c r="D51" s="14" t="n">
        <v>0.028</v>
      </c>
      <c r="E51" s="15">
        <f>E50*(1+D51)</f>
        <v/>
      </c>
      <c r="F51" s="15">
        <f>MAX(F50,E51)</f>
        <v/>
      </c>
      <c r="G51" s="14">
        <f>(E51-F51)/F51</f>
        <v/>
      </c>
      <c r="H51" s="5">
        <f>IF(G51&lt;0,"YES","NO")</f>
        <v/>
      </c>
    </row>
    <row r="52">
      <c r="A52" s="5" t="n">
        <v>47</v>
      </c>
      <c r="B52" s="12" t="n">
        <v>45260</v>
      </c>
      <c r="C52" s="5" t="inlineStr">
        <is>
          <t>Nov 2023</t>
        </is>
      </c>
      <c r="D52" s="14" t="n">
        <v>0.022</v>
      </c>
      <c r="E52" s="15">
        <f>E51*(1+D52)</f>
        <v/>
      </c>
      <c r="F52" s="15">
        <f>MAX(F51,E52)</f>
        <v/>
      </c>
      <c r="G52" s="14">
        <f>(E52-F52)/F52</f>
        <v/>
      </c>
      <c r="H52" s="5">
        <f>IF(G52&lt;0,"YES","NO")</f>
        <v/>
      </c>
    </row>
    <row r="53">
      <c r="A53" s="5" t="n">
        <v>48</v>
      </c>
      <c r="B53" s="12" t="n">
        <v>45291</v>
      </c>
      <c r="C53" s="5" t="inlineStr">
        <is>
          <t>Dec 2023</t>
        </is>
      </c>
      <c r="D53" s="14" t="n">
        <v>0.018</v>
      </c>
      <c r="E53" s="15">
        <f>E52*(1+D53)</f>
        <v/>
      </c>
      <c r="F53" s="15">
        <f>MAX(F52,E53)</f>
        <v/>
      </c>
      <c r="G53" s="14">
        <f>(E53-F53)/F53</f>
        <v/>
      </c>
      <c r="H53" s="5">
        <f>IF(G53&lt;0,"YES","NO")</f>
        <v/>
      </c>
    </row>
    <row r="54">
      <c r="A54" s="5" t="n">
        <v>49</v>
      </c>
      <c r="B54" s="12" t="n">
        <v>45322</v>
      </c>
      <c r="C54" s="5" t="inlineStr">
        <is>
          <t>Jan 2024</t>
        </is>
      </c>
      <c r="D54" s="14" t="n">
        <v>0.022</v>
      </c>
      <c r="E54" s="15">
        <f>E53*(1+D54)</f>
        <v/>
      </c>
      <c r="F54" s="15">
        <f>MAX(F53,E54)</f>
        <v/>
      </c>
      <c r="G54" s="14">
        <f>(E54-F54)/F54</f>
        <v/>
      </c>
      <c r="H54" s="5">
        <f>IF(G54&lt;0,"YES","NO")</f>
        <v/>
      </c>
    </row>
    <row r="55">
      <c r="A55" s="5" t="n">
        <v>50</v>
      </c>
      <c r="B55" s="12" t="n">
        <v>45351</v>
      </c>
      <c r="C55" s="5" t="inlineStr">
        <is>
          <t>Feb 2024</t>
        </is>
      </c>
      <c r="D55" s="14" t="n">
        <v>0.015</v>
      </c>
      <c r="E55" s="15">
        <f>E54*(1+D55)</f>
        <v/>
      </c>
      <c r="F55" s="15">
        <f>MAX(F54,E55)</f>
        <v/>
      </c>
      <c r="G55" s="14">
        <f>(E55-F55)/F55</f>
        <v/>
      </c>
      <c r="H55" s="5">
        <f>IF(G55&lt;0,"YES","NO")</f>
        <v/>
      </c>
    </row>
    <row r="56">
      <c r="A56" s="5" t="n">
        <v>51</v>
      </c>
      <c r="B56" s="12" t="n">
        <v>45382</v>
      </c>
      <c r="C56" s="5" t="inlineStr">
        <is>
          <t>Mar 2024</t>
        </is>
      </c>
      <c r="D56" s="14" t="n">
        <v>0.028</v>
      </c>
      <c r="E56" s="15">
        <f>E55*(1+D56)</f>
        <v/>
      </c>
      <c r="F56" s="15">
        <f>MAX(F55,E56)</f>
        <v/>
      </c>
      <c r="G56" s="14">
        <f>(E56-F56)/F56</f>
        <v/>
      </c>
      <c r="H56" s="5">
        <f>IF(G56&lt;0,"YES","NO")</f>
        <v/>
      </c>
    </row>
    <row r="57">
      <c r="A57" s="5" t="n">
        <v>52</v>
      </c>
      <c r="B57" s="12" t="n">
        <v>45412</v>
      </c>
      <c r="C57" s="5" t="inlineStr">
        <is>
          <t>Apr 2024</t>
        </is>
      </c>
      <c r="D57" s="14" t="n">
        <v>0.012</v>
      </c>
      <c r="E57" s="15">
        <f>E56*(1+D57)</f>
        <v/>
      </c>
      <c r="F57" s="15">
        <f>MAX(F56,E57)</f>
        <v/>
      </c>
      <c r="G57" s="14">
        <f>(E57-F57)/F57</f>
        <v/>
      </c>
      <c r="H57" s="5">
        <f>IF(G57&lt;0,"YES","NO")</f>
        <v/>
      </c>
    </row>
    <row r="58">
      <c r="A58" s="5" t="n">
        <v>53</v>
      </c>
      <c r="B58" s="12" t="n">
        <v>45443</v>
      </c>
      <c r="C58" s="5" t="inlineStr">
        <is>
          <t>May 2024</t>
        </is>
      </c>
      <c r="D58" s="14" t="n">
        <v>-0.008</v>
      </c>
      <c r="E58" s="15">
        <f>E57*(1+D58)</f>
        <v/>
      </c>
      <c r="F58" s="15">
        <f>MAX(F57,E58)</f>
        <v/>
      </c>
      <c r="G58" s="14">
        <f>(E58-F58)/F58</f>
        <v/>
      </c>
      <c r="H58" s="5">
        <f>IF(G58&lt;0,"YES","NO")</f>
        <v/>
      </c>
    </row>
    <row r="59">
      <c r="A59" s="5" t="n">
        <v>54</v>
      </c>
      <c r="B59" s="12" t="n">
        <v>45473</v>
      </c>
      <c r="C59" s="5" t="inlineStr">
        <is>
          <t>Jun 2024</t>
        </is>
      </c>
      <c r="D59" s="14" t="n">
        <v>0.025</v>
      </c>
      <c r="E59" s="15">
        <f>E58*(1+D59)</f>
        <v/>
      </c>
      <c r="F59" s="15">
        <f>MAX(F58,E59)</f>
        <v/>
      </c>
      <c r="G59" s="14">
        <f>(E59-F59)/F59</f>
        <v/>
      </c>
      <c r="H59" s="5">
        <f>IF(G59&lt;0,"YES","NO")</f>
        <v/>
      </c>
    </row>
    <row r="60">
      <c r="A60" s="5" t="n">
        <v>55</v>
      </c>
      <c r="B60" s="12" t="n">
        <v>45504</v>
      </c>
      <c r="C60" s="5" t="inlineStr">
        <is>
          <t>Jul 2024</t>
        </is>
      </c>
      <c r="D60" s="14" t="n">
        <v>0.018</v>
      </c>
      <c r="E60" s="15">
        <f>E59*(1+D60)</f>
        <v/>
      </c>
      <c r="F60" s="15">
        <f>MAX(F59,E60)</f>
        <v/>
      </c>
      <c r="G60" s="14">
        <f>(E60-F60)/F60</f>
        <v/>
      </c>
      <c r="H60" s="5">
        <f>IF(G60&lt;0,"YES","NO")</f>
        <v/>
      </c>
    </row>
    <row r="61">
      <c r="A61" s="5" t="n">
        <v>56</v>
      </c>
      <c r="B61" s="12" t="n">
        <v>45535</v>
      </c>
      <c r="C61" s="5" t="inlineStr">
        <is>
          <t>Aug 2024</t>
        </is>
      </c>
      <c r="D61" s="14" t="n">
        <v>0.022</v>
      </c>
      <c r="E61" s="15">
        <f>E60*(1+D61)</f>
        <v/>
      </c>
      <c r="F61" s="15">
        <f>MAX(F60,E61)</f>
        <v/>
      </c>
      <c r="G61" s="14">
        <f>(E61-F61)/F61</f>
        <v/>
      </c>
      <c r="H61" s="5">
        <f>IF(G61&lt;0,"YES","NO")</f>
        <v/>
      </c>
    </row>
    <row r="62">
      <c r="A62" s="5" t="n">
        <v>57</v>
      </c>
      <c r="B62" s="12" t="n">
        <v>45565</v>
      </c>
      <c r="C62" s="5" t="inlineStr">
        <is>
          <t>Sep 2024</t>
        </is>
      </c>
      <c r="D62" s="14" t="n">
        <v>-0.015</v>
      </c>
      <c r="E62" s="15">
        <f>E61*(1+D62)</f>
        <v/>
      </c>
      <c r="F62" s="15">
        <f>MAX(F61,E62)</f>
        <v/>
      </c>
      <c r="G62" s="14">
        <f>(E62-F62)/F62</f>
        <v/>
      </c>
      <c r="H62" s="5">
        <f>IF(G62&lt;0,"YES","NO")</f>
        <v/>
      </c>
    </row>
    <row r="63">
      <c r="A63" s="5" t="n">
        <v>58</v>
      </c>
      <c r="B63" s="12" t="n">
        <v>45596</v>
      </c>
      <c r="C63" s="5" t="inlineStr">
        <is>
          <t>Oct 2024</t>
        </is>
      </c>
      <c r="D63" s="14" t="n">
        <v>0.032</v>
      </c>
      <c r="E63" s="15">
        <f>E62*(1+D63)</f>
        <v/>
      </c>
      <c r="F63" s="15">
        <f>MAX(F62,E63)</f>
        <v/>
      </c>
      <c r="G63" s="14">
        <f>(E63-F63)/F63</f>
        <v/>
      </c>
      <c r="H63" s="5">
        <f>IF(G63&lt;0,"YES","NO")</f>
        <v/>
      </c>
    </row>
    <row r="64">
      <c r="A64" s="5" t="n">
        <v>59</v>
      </c>
      <c r="B64" s="12" t="n">
        <v>45626</v>
      </c>
      <c r="C64" s="5" t="inlineStr">
        <is>
          <t>Nov 2024</t>
        </is>
      </c>
      <c r="D64" s="14" t="n">
        <v>0.025</v>
      </c>
      <c r="E64" s="15">
        <f>E63*(1+D64)</f>
        <v/>
      </c>
      <c r="F64" s="15">
        <f>MAX(F63,E64)</f>
        <v/>
      </c>
      <c r="G64" s="14">
        <f>(E64-F64)/F64</f>
        <v/>
      </c>
      <c r="H64" s="5">
        <f>IF(G64&lt;0,"YES","NO")</f>
        <v/>
      </c>
    </row>
    <row r="65">
      <c r="A65" s="5" t="n">
        <v>60</v>
      </c>
      <c r="B65" s="12" t="n">
        <v>45657</v>
      </c>
      <c r="C65" s="5" t="inlineStr">
        <is>
          <t>Dec 2024</t>
        </is>
      </c>
      <c r="D65" s="14" t="n">
        <v>0.018</v>
      </c>
      <c r="E65" s="15">
        <f>E64*(1+D65)</f>
        <v/>
      </c>
      <c r="F65" s="15">
        <f>MAX(F64,E65)</f>
        <v/>
      </c>
      <c r="G65" s="14">
        <f>(E65-F65)/F65</f>
        <v/>
      </c>
      <c r="H65" s="5">
        <f>IF(G65&lt;0,"YES","NO")</f>
        <v/>
      </c>
    </row>
    <row r="67">
      <c r="A67" s="46" t="inlineStr">
        <is>
          <t>SUMMARY</t>
        </is>
      </c>
    </row>
    <row r="69">
      <c r="A69" t="inlineStr">
        <is>
          <t>Maximum Drawdown:</t>
        </is>
      </c>
      <c r="B69" s="37">
        <f>MIN(G6:G65)</f>
        <v/>
      </c>
    </row>
    <row r="70">
      <c r="A70" t="inlineStr">
        <is>
          <t>Average Drawdown:</t>
        </is>
      </c>
      <c r="B70" s="38">
        <f>AVERAGEIF(G6:G65,"&lt;0")</f>
        <v/>
      </c>
    </row>
    <row r="71">
      <c r="A71" t="inlineStr">
        <is>
          <t>Months in Drawdown:</t>
        </is>
      </c>
      <c r="B71">
        <f>COUNTIF(G6:G65,"&lt;0")</f>
        <v/>
      </c>
    </row>
    <row r="72">
      <c r="A72" t="inlineStr">
        <is>
          <t>Drawdown Recovery Factor:</t>
        </is>
      </c>
      <c r="B72" s="47">
        <f>E65/ABS(MIN(G6:G65))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3" t="inlineStr">
        <is>
          <t>PORTFOLIO VS BENCHMARK - COMPLETE COMPARISON</t>
        </is>
      </c>
    </row>
    <row r="3">
      <c r="A3" s="39" t="inlineStr">
        <is>
          <t>Benchmark: S&amp;P 500 Total Return Index</t>
        </is>
      </c>
    </row>
    <row r="5">
      <c r="A5" s="8" t="inlineStr">
        <is>
          <t>#</t>
        </is>
      </c>
      <c r="B5" s="8" t="inlineStr">
        <is>
          <t>Date</t>
        </is>
      </c>
      <c r="C5" s="8" t="inlineStr">
        <is>
          <t>Portfolio</t>
        </is>
      </c>
      <c r="D5" s="8" t="inlineStr">
        <is>
          <t>Benchmark</t>
        </is>
      </c>
      <c r="E5" s="8" t="inlineStr">
        <is>
          <t>Excess</t>
        </is>
      </c>
      <c r="F5" s="8" t="inlineStr">
        <is>
          <t>Port Cum</t>
        </is>
      </c>
      <c r="G5" s="8" t="inlineStr">
        <is>
          <t>BM Cum</t>
        </is>
      </c>
      <c r="H5" s="8" t="inlineStr">
        <is>
          <t>Rel Performance</t>
        </is>
      </c>
    </row>
    <row r="6">
      <c r="A6" s="5" t="n">
        <v>1</v>
      </c>
      <c r="B6" s="12" t="n">
        <v>43861</v>
      </c>
      <c r="C6" s="14" t="n">
        <v>0.012</v>
      </c>
      <c r="D6" s="14" t="n">
        <v>0.01</v>
      </c>
      <c r="E6" s="13">
        <f>C6-D6</f>
        <v/>
      </c>
      <c r="F6" s="15">
        <f>1+C6</f>
        <v/>
      </c>
      <c r="G6" s="15">
        <f>1+D6</f>
        <v/>
      </c>
      <c r="H6" s="14">
        <f>F6/G6-1</f>
        <v/>
      </c>
    </row>
    <row r="7">
      <c r="A7" s="5" t="n">
        <v>2</v>
      </c>
      <c r="B7" s="12" t="n">
        <v>43890</v>
      </c>
      <c r="C7" s="14" t="n">
        <v>0.008</v>
      </c>
      <c r="D7" s="14" t="n">
        <v>0.006</v>
      </c>
      <c r="E7" s="13">
        <f>C7-D7</f>
        <v/>
      </c>
      <c r="F7" s="15">
        <f>F6*(1+C7)</f>
        <v/>
      </c>
      <c r="G7" s="15">
        <f>G6*(1+D7)</f>
        <v/>
      </c>
      <c r="H7" s="14">
        <f>F7/G7-1</f>
        <v/>
      </c>
    </row>
    <row r="8">
      <c r="A8" s="5" t="n">
        <v>3</v>
      </c>
      <c r="B8" s="12" t="n">
        <v>43921</v>
      </c>
      <c r="C8" s="14" t="n">
        <v>-0.035</v>
      </c>
      <c r="D8" s="14" t="n">
        <v>-0.03</v>
      </c>
      <c r="E8" s="17">
        <f>C8-D8</f>
        <v/>
      </c>
      <c r="F8" s="15">
        <f>F7*(1+C8)</f>
        <v/>
      </c>
      <c r="G8" s="15">
        <f>G7*(1+D8)</f>
        <v/>
      </c>
      <c r="H8" s="14">
        <f>F8/G8-1</f>
        <v/>
      </c>
    </row>
    <row r="9">
      <c r="A9" s="5" t="n">
        <v>4</v>
      </c>
      <c r="B9" s="12" t="n">
        <v>43951</v>
      </c>
      <c r="C9" s="14" t="n">
        <v>0.045</v>
      </c>
      <c r="D9" s="14" t="n">
        <v>0.04</v>
      </c>
      <c r="E9" s="13">
        <f>C9-D9</f>
        <v/>
      </c>
      <c r="F9" s="15">
        <f>F8*(1+C9)</f>
        <v/>
      </c>
      <c r="G9" s="15">
        <f>G8*(1+D9)</f>
        <v/>
      </c>
      <c r="H9" s="14">
        <f>F9/G9-1</f>
        <v/>
      </c>
    </row>
    <row r="10">
      <c r="A10" s="5" t="n">
        <v>5</v>
      </c>
      <c r="B10" s="12" t="n">
        <v>43982</v>
      </c>
      <c r="C10" s="14" t="n">
        <v>0.028</v>
      </c>
      <c r="D10" s="14" t="n">
        <v>0.025</v>
      </c>
      <c r="E10" s="13">
        <f>C10-D10</f>
        <v/>
      </c>
      <c r="F10" s="15">
        <f>F9*(1+C10)</f>
        <v/>
      </c>
      <c r="G10" s="15">
        <f>G9*(1+D10)</f>
        <v/>
      </c>
      <c r="H10" s="14">
        <f>F10/G10-1</f>
        <v/>
      </c>
    </row>
    <row r="11">
      <c r="A11" s="5" t="n">
        <v>6</v>
      </c>
      <c r="B11" s="12" t="n">
        <v>44012</v>
      </c>
      <c r="C11" s="14" t="n">
        <v>0.015</v>
      </c>
      <c r="D11" s="14" t="n">
        <v>0.012</v>
      </c>
      <c r="E11" s="13">
        <f>C11-D11</f>
        <v/>
      </c>
      <c r="F11" s="15">
        <f>F10*(1+C11)</f>
        <v/>
      </c>
      <c r="G11" s="15">
        <f>G10*(1+D11)</f>
        <v/>
      </c>
      <c r="H11" s="14">
        <f>F11/G11-1</f>
        <v/>
      </c>
    </row>
    <row r="12">
      <c r="A12" s="5" t="n">
        <v>7</v>
      </c>
      <c r="B12" s="12" t="n">
        <v>44043</v>
      </c>
      <c r="C12" s="14" t="n">
        <v>0.022</v>
      </c>
      <c r="D12" s="14" t="n">
        <v>0.02</v>
      </c>
      <c r="E12" s="13">
        <f>C12-D12</f>
        <v/>
      </c>
      <c r="F12" s="15">
        <f>F11*(1+C12)</f>
        <v/>
      </c>
      <c r="G12" s="15">
        <f>G11*(1+D12)</f>
        <v/>
      </c>
      <c r="H12" s="14">
        <f>F12/G12-1</f>
        <v/>
      </c>
    </row>
    <row r="13">
      <c r="A13" s="5" t="n">
        <v>8</v>
      </c>
      <c r="B13" s="12" t="n">
        <v>44074</v>
      </c>
      <c r="C13" s="14" t="n">
        <v>0.018</v>
      </c>
      <c r="D13" s="14" t="n">
        <v>0.015</v>
      </c>
      <c r="E13" s="13">
        <f>C13-D13</f>
        <v/>
      </c>
      <c r="F13" s="15">
        <f>F12*(1+C13)</f>
        <v/>
      </c>
      <c r="G13" s="15">
        <f>G12*(1+D13)</f>
        <v/>
      </c>
      <c r="H13" s="14">
        <f>F13/G13-1</f>
        <v/>
      </c>
    </row>
    <row r="14">
      <c r="A14" s="5" t="n">
        <v>9</v>
      </c>
      <c r="B14" s="12" t="n">
        <v>44104</v>
      </c>
      <c r="C14" s="14" t="n">
        <v>-0.012</v>
      </c>
      <c r="D14" s="14" t="n">
        <v>-0.01</v>
      </c>
      <c r="E14" s="17">
        <f>C14-D14</f>
        <v/>
      </c>
      <c r="F14" s="15">
        <f>F13*(1+C14)</f>
        <v/>
      </c>
      <c r="G14" s="15">
        <f>G13*(1+D14)</f>
        <v/>
      </c>
      <c r="H14" s="14">
        <f>F14/G14-1</f>
        <v/>
      </c>
    </row>
    <row r="15">
      <c r="A15" s="5" t="n">
        <v>10</v>
      </c>
      <c r="B15" s="12" t="n">
        <v>44135</v>
      </c>
      <c r="C15" s="14" t="n">
        <v>0.025</v>
      </c>
      <c r="D15" s="14" t="n">
        <v>0.022</v>
      </c>
      <c r="E15" s="13">
        <f>C15-D15</f>
        <v/>
      </c>
      <c r="F15" s="15">
        <f>F14*(1+C15)</f>
        <v/>
      </c>
      <c r="G15" s="15">
        <f>G14*(1+D15)</f>
        <v/>
      </c>
      <c r="H15" s="14">
        <f>F15/G15-1</f>
        <v/>
      </c>
    </row>
    <row r="16">
      <c r="A16" s="5" t="n">
        <v>11</v>
      </c>
      <c r="B16" s="12" t="n">
        <v>44165</v>
      </c>
      <c r="C16" s="14" t="n">
        <v>0.032</v>
      </c>
      <c r="D16" s="14" t="n">
        <v>0.028</v>
      </c>
      <c r="E16" s="13">
        <f>C16-D16</f>
        <v/>
      </c>
      <c r="F16" s="15">
        <f>F15*(1+C16)</f>
        <v/>
      </c>
      <c r="G16" s="15">
        <f>G15*(1+D16)</f>
        <v/>
      </c>
      <c r="H16" s="14">
        <f>F16/G16-1</f>
        <v/>
      </c>
    </row>
    <row r="17">
      <c r="A17" s="5" t="n">
        <v>12</v>
      </c>
      <c r="B17" s="12" t="n">
        <v>44196</v>
      </c>
      <c r="C17" s="14" t="n">
        <v>0.008</v>
      </c>
      <c r="D17" s="14" t="n">
        <v>0.006</v>
      </c>
      <c r="E17" s="13">
        <f>C17-D17</f>
        <v/>
      </c>
      <c r="F17" s="15">
        <f>F16*(1+C17)</f>
        <v/>
      </c>
      <c r="G17" s="15">
        <f>G16*(1+D17)</f>
        <v/>
      </c>
      <c r="H17" s="14">
        <f>F17/G17-1</f>
        <v/>
      </c>
    </row>
    <row r="18">
      <c r="A18" s="5" t="n">
        <v>13</v>
      </c>
      <c r="B18" s="12" t="n">
        <v>44227</v>
      </c>
      <c r="C18" s="14" t="n">
        <v>0.018</v>
      </c>
      <c r="D18" s="14" t="n">
        <v>0.015</v>
      </c>
      <c r="E18" s="13">
        <f>C18-D18</f>
        <v/>
      </c>
      <c r="F18" s="15">
        <f>F17*(1+C18)</f>
        <v/>
      </c>
      <c r="G18" s="15">
        <f>G17*(1+D18)</f>
        <v/>
      </c>
      <c r="H18" s="14">
        <f>F18/G18-1</f>
        <v/>
      </c>
    </row>
    <row r="19">
      <c r="A19" s="5" t="n">
        <v>14</v>
      </c>
      <c r="B19" s="12" t="n">
        <v>44255</v>
      </c>
      <c r="C19" s="14" t="n">
        <v>0.022</v>
      </c>
      <c r="D19" s="14" t="n">
        <v>0.02</v>
      </c>
      <c r="E19" s="13">
        <f>C19-D19</f>
        <v/>
      </c>
      <c r="F19" s="15">
        <f>F18*(1+C19)</f>
        <v/>
      </c>
      <c r="G19" s="15">
        <f>G18*(1+D19)</f>
        <v/>
      </c>
      <c r="H19" s="14">
        <f>F19/G19-1</f>
        <v/>
      </c>
    </row>
    <row r="20">
      <c r="A20" s="5" t="n">
        <v>15</v>
      </c>
      <c r="B20" s="12" t="n">
        <v>44286</v>
      </c>
      <c r="C20" s="14" t="n">
        <v>0.015</v>
      </c>
      <c r="D20" s="14" t="n">
        <v>0.012</v>
      </c>
      <c r="E20" s="13">
        <f>C20-D20</f>
        <v/>
      </c>
      <c r="F20" s="15">
        <f>F19*(1+C20)</f>
        <v/>
      </c>
      <c r="G20" s="15">
        <f>G19*(1+D20)</f>
        <v/>
      </c>
      <c r="H20" s="14">
        <f>F20/G20-1</f>
        <v/>
      </c>
    </row>
    <row r="21">
      <c r="A21" s="5" t="n">
        <v>16</v>
      </c>
      <c r="B21" s="12" t="n">
        <v>44316</v>
      </c>
      <c r="C21" s="14" t="n">
        <v>0.028</v>
      </c>
      <c r="D21" s="14" t="n">
        <v>0.025</v>
      </c>
      <c r="E21" s="13">
        <f>C21-D21</f>
        <v/>
      </c>
      <c r="F21" s="15">
        <f>F20*(1+C21)</f>
        <v/>
      </c>
      <c r="G21" s="15">
        <f>G20*(1+D21)</f>
        <v/>
      </c>
      <c r="H21" s="14">
        <f>F21/G21-1</f>
        <v/>
      </c>
    </row>
    <row r="22">
      <c r="A22" s="5" t="n">
        <v>17</v>
      </c>
      <c r="B22" s="12" t="n">
        <v>44347</v>
      </c>
      <c r="C22" s="14" t="n">
        <v>-0.008</v>
      </c>
      <c r="D22" s="14" t="n">
        <v>-0.006</v>
      </c>
      <c r="E22" s="17">
        <f>C22-D22</f>
        <v/>
      </c>
      <c r="F22" s="15">
        <f>F21*(1+C22)</f>
        <v/>
      </c>
      <c r="G22" s="15">
        <f>G21*(1+D22)</f>
        <v/>
      </c>
      <c r="H22" s="14">
        <f>F22/G22-1</f>
        <v/>
      </c>
    </row>
    <row r="23">
      <c r="A23" s="5" t="n">
        <v>18</v>
      </c>
      <c r="B23" s="12" t="n">
        <v>44377</v>
      </c>
      <c r="C23" s="14" t="n">
        <v>0.032</v>
      </c>
      <c r="D23" s="14" t="n">
        <v>0.028</v>
      </c>
      <c r="E23" s="13">
        <f>C23-D23</f>
        <v/>
      </c>
      <c r="F23" s="15">
        <f>F22*(1+C23)</f>
        <v/>
      </c>
      <c r="G23" s="15">
        <f>G22*(1+D23)</f>
        <v/>
      </c>
      <c r="H23" s="14">
        <f>F23/G23-1</f>
        <v/>
      </c>
    </row>
    <row r="24">
      <c r="A24" s="5" t="n">
        <v>19</v>
      </c>
      <c r="B24" s="12" t="n">
        <v>44408</v>
      </c>
      <c r="C24" s="14" t="n">
        <v>0.012</v>
      </c>
      <c r="D24" s="14" t="n">
        <v>0.01</v>
      </c>
      <c r="E24" s="13">
        <f>C24-D24</f>
        <v/>
      </c>
      <c r="F24" s="15">
        <f>F23*(1+C24)</f>
        <v/>
      </c>
      <c r="G24" s="15">
        <f>G23*(1+D24)</f>
        <v/>
      </c>
      <c r="H24" s="14">
        <f>F24/G24-1</f>
        <v/>
      </c>
    </row>
    <row r="25">
      <c r="A25" s="5" t="n">
        <v>20</v>
      </c>
      <c r="B25" s="12" t="n">
        <v>44439</v>
      </c>
      <c r="C25" s="14" t="n">
        <v>0.025</v>
      </c>
      <c r="D25" s="14" t="n">
        <v>0.022</v>
      </c>
      <c r="E25" s="13">
        <f>C25-D25</f>
        <v/>
      </c>
      <c r="F25" s="15">
        <f>F24*(1+C25)</f>
        <v/>
      </c>
      <c r="G25" s="15">
        <f>G24*(1+D25)</f>
        <v/>
      </c>
      <c r="H25" s="14">
        <f>F25/G25-1</f>
        <v/>
      </c>
    </row>
    <row r="26">
      <c r="A26" s="5" t="n">
        <v>21</v>
      </c>
      <c r="B26" s="12" t="n">
        <v>44469</v>
      </c>
      <c r="C26" s="14" t="n">
        <v>-0.015</v>
      </c>
      <c r="D26" s="14" t="n">
        <v>-0.012</v>
      </c>
      <c r="E26" s="17">
        <f>C26-D26</f>
        <v/>
      </c>
      <c r="F26" s="15">
        <f>F25*(1+C26)</f>
        <v/>
      </c>
      <c r="G26" s="15">
        <f>G25*(1+D26)</f>
        <v/>
      </c>
      <c r="H26" s="14">
        <f>F26/G26-1</f>
        <v/>
      </c>
    </row>
    <row r="27">
      <c r="A27" s="5" t="n">
        <v>22</v>
      </c>
      <c r="B27" s="12" t="n">
        <v>44500</v>
      </c>
      <c r="C27" s="14" t="n">
        <v>0.038</v>
      </c>
      <c r="D27" s="14" t="n">
        <v>0.035</v>
      </c>
      <c r="E27" s="13">
        <f>C27-D27</f>
        <v/>
      </c>
      <c r="F27" s="15">
        <f>F26*(1+C27)</f>
        <v/>
      </c>
      <c r="G27" s="15">
        <f>G26*(1+D27)</f>
        <v/>
      </c>
      <c r="H27" s="14">
        <f>F27/G27-1</f>
        <v/>
      </c>
    </row>
    <row r="28">
      <c r="A28" s="5" t="n">
        <v>23</v>
      </c>
      <c r="B28" s="12" t="n">
        <v>44530</v>
      </c>
      <c r="C28" s="14" t="n">
        <v>0.022</v>
      </c>
      <c r="D28" s="14" t="n">
        <v>0.02</v>
      </c>
      <c r="E28" s="13">
        <f>C28-D28</f>
        <v/>
      </c>
      <c r="F28" s="15">
        <f>F27*(1+C28)</f>
        <v/>
      </c>
      <c r="G28" s="15">
        <f>G27*(1+D28)</f>
        <v/>
      </c>
      <c r="H28" s="14">
        <f>F28/G28-1</f>
        <v/>
      </c>
    </row>
    <row r="29">
      <c r="A29" s="5" t="n">
        <v>24</v>
      </c>
      <c r="B29" s="12" t="n">
        <v>44561</v>
      </c>
      <c r="C29" s="14" t="n">
        <v>0.015</v>
      </c>
      <c r="D29" s="14" t="n">
        <v>0.012</v>
      </c>
      <c r="E29" s="13">
        <f>C29-D29</f>
        <v/>
      </c>
      <c r="F29" s="15">
        <f>F28*(1+C29)</f>
        <v/>
      </c>
      <c r="G29" s="15">
        <f>G28*(1+D29)</f>
        <v/>
      </c>
      <c r="H29" s="14">
        <f>F29/G29-1</f>
        <v/>
      </c>
    </row>
    <row r="30">
      <c r="A30" s="5" t="n">
        <v>25</v>
      </c>
      <c r="B30" s="12" t="n">
        <v>44592</v>
      </c>
      <c r="C30" s="14" t="n">
        <v>-0.025</v>
      </c>
      <c r="D30" s="14" t="n">
        <v>-0.022</v>
      </c>
      <c r="E30" s="17">
        <f>C30-D30</f>
        <v/>
      </c>
      <c r="F30" s="15">
        <f>F29*(1+C30)</f>
        <v/>
      </c>
      <c r="G30" s="15">
        <f>G29*(1+D30)</f>
        <v/>
      </c>
      <c r="H30" s="14">
        <f>F30/G30-1</f>
        <v/>
      </c>
    </row>
    <row r="31">
      <c r="A31" s="5" t="n">
        <v>26</v>
      </c>
      <c r="B31" s="12" t="n">
        <v>44620</v>
      </c>
      <c r="C31" s="14" t="n">
        <v>-0.018</v>
      </c>
      <c r="D31" s="14" t="n">
        <v>-0.015</v>
      </c>
      <c r="E31" s="17">
        <f>C31-D31</f>
        <v/>
      </c>
      <c r="F31" s="15">
        <f>F30*(1+C31)</f>
        <v/>
      </c>
      <c r="G31" s="15">
        <f>G30*(1+D31)</f>
        <v/>
      </c>
      <c r="H31" s="14">
        <f>F31/G31-1</f>
        <v/>
      </c>
    </row>
    <row r="32">
      <c r="A32" s="5" t="n">
        <v>27</v>
      </c>
      <c r="B32" s="12" t="n">
        <v>44651</v>
      </c>
      <c r="C32" s="14" t="n">
        <v>0.012</v>
      </c>
      <c r="D32" s="14" t="n">
        <v>0.01</v>
      </c>
      <c r="E32" s="13">
        <f>C32-D32</f>
        <v/>
      </c>
      <c r="F32" s="15">
        <f>F31*(1+C32)</f>
        <v/>
      </c>
      <c r="G32" s="15">
        <f>G31*(1+D32)</f>
        <v/>
      </c>
      <c r="H32" s="14">
        <f>F32/G32-1</f>
        <v/>
      </c>
    </row>
    <row r="33">
      <c r="A33" s="5" t="n">
        <v>28</v>
      </c>
      <c r="B33" s="12" t="n">
        <v>44681</v>
      </c>
      <c r="C33" s="14" t="n">
        <v>-0.032</v>
      </c>
      <c r="D33" s="14" t="n">
        <v>-0.028</v>
      </c>
      <c r="E33" s="17">
        <f>C33-D33</f>
        <v/>
      </c>
      <c r="F33" s="15">
        <f>F32*(1+C33)</f>
        <v/>
      </c>
      <c r="G33" s="15">
        <f>G32*(1+D33)</f>
        <v/>
      </c>
      <c r="H33" s="14">
        <f>F33/G33-1</f>
        <v/>
      </c>
    </row>
    <row r="34">
      <c r="A34" s="5" t="n">
        <v>29</v>
      </c>
      <c r="B34" s="12" t="n">
        <v>44712</v>
      </c>
      <c r="C34" s="14" t="n">
        <v>-0.015</v>
      </c>
      <c r="D34" s="14" t="n">
        <v>-0.012</v>
      </c>
      <c r="E34" s="17">
        <f>C34-D34</f>
        <v/>
      </c>
      <c r="F34" s="15">
        <f>F33*(1+C34)</f>
        <v/>
      </c>
      <c r="G34" s="15">
        <f>G33*(1+D34)</f>
        <v/>
      </c>
      <c r="H34" s="14">
        <f>F34/G34-1</f>
        <v/>
      </c>
    </row>
    <row r="35">
      <c r="A35" s="5" t="n">
        <v>30</v>
      </c>
      <c r="B35" s="12" t="n">
        <v>44742</v>
      </c>
      <c r="C35" s="14" t="n">
        <v>-0.022</v>
      </c>
      <c r="D35" s="14" t="n">
        <v>-0.02</v>
      </c>
      <c r="E35" s="17">
        <f>C35-D35</f>
        <v/>
      </c>
      <c r="F35" s="15">
        <f>F34*(1+C35)</f>
        <v/>
      </c>
      <c r="G35" s="15">
        <f>G34*(1+D35)</f>
        <v/>
      </c>
      <c r="H35" s="14">
        <f>F35/G35-1</f>
        <v/>
      </c>
    </row>
    <row r="36">
      <c r="A36" s="5" t="n">
        <v>31</v>
      </c>
      <c r="B36" s="12" t="n">
        <v>44773</v>
      </c>
      <c r="C36" s="14" t="n">
        <v>0.018</v>
      </c>
      <c r="D36" s="14" t="n">
        <v>0.015</v>
      </c>
      <c r="E36" s="13">
        <f>C36-D36</f>
        <v/>
      </c>
      <c r="F36" s="15">
        <f>F35*(1+C36)</f>
        <v/>
      </c>
      <c r="G36" s="15">
        <f>G35*(1+D36)</f>
        <v/>
      </c>
      <c r="H36" s="14">
        <f>F36/G36-1</f>
        <v/>
      </c>
    </row>
    <row r="37">
      <c r="A37" s="5" t="n">
        <v>32</v>
      </c>
      <c r="B37" s="12" t="n">
        <v>44804</v>
      </c>
      <c r="C37" s="14" t="n">
        <v>0.008</v>
      </c>
      <c r="D37" s="14" t="n">
        <v>0.006</v>
      </c>
      <c r="E37" s="13">
        <f>C37-D37</f>
        <v/>
      </c>
      <c r="F37" s="15">
        <f>F36*(1+C37)</f>
        <v/>
      </c>
      <c r="G37" s="15">
        <f>G36*(1+D37)</f>
        <v/>
      </c>
      <c r="H37" s="14">
        <f>F37/G37-1</f>
        <v/>
      </c>
    </row>
    <row r="38">
      <c r="A38" s="5" t="n">
        <v>33</v>
      </c>
      <c r="B38" s="12" t="n">
        <v>44834</v>
      </c>
      <c r="C38" s="14" t="n">
        <v>-0.028</v>
      </c>
      <c r="D38" s="14" t="n">
        <v>-0.025</v>
      </c>
      <c r="E38" s="17">
        <f>C38-D38</f>
        <v/>
      </c>
      <c r="F38" s="15">
        <f>F37*(1+C38)</f>
        <v/>
      </c>
      <c r="G38" s="15">
        <f>G37*(1+D38)</f>
        <v/>
      </c>
      <c r="H38" s="14">
        <f>F38/G38-1</f>
        <v/>
      </c>
    </row>
    <row r="39">
      <c r="A39" s="5" t="n">
        <v>34</v>
      </c>
      <c r="B39" s="12" t="n">
        <v>44865</v>
      </c>
      <c r="C39" s="14" t="n">
        <v>0.015</v>
      </c>
      <c r="D39" s="14" t="n">
        <v>0.012</v>
      </c>
      <c r="E39" s="13">
        <f>C39-D39</f>
        <v/>
      </c>
      <c r="F39" s="15">
        <f>F38*(1+C39)</f>
        <v/>
      </c>
      <c r="G39" s="15">
        <f>G38*(1+D39)</f>
        <v/>
      </c>
      <c r="H39" s="14">
        <f>F39/G39-1</f>
        <v/>
      </c>
    </row>
    <row r="40">
      <c r="A40" s="5" t="n">
        <v>35</v>
      </c>
      <c r="B40" s="12" t="n">
        <v>44895</v>
      </c>
      <c r="C40" s="14" t="n">
        <v>0.022</v>
      </c>
      <c r="D40" s="14" t="n">
        <v>0.02</v>
      </c>
      <c r="E40" s="13">
        <f>C40-D40</f>
        <v/>
      </c>
      <c r="F40" s="15">
        <f>F39*(1+C40)</f>
        <v/>
      </c>
      <c r="G40" s="15">
        <f>G39*(1+D40)</f>
        <v/>
      </c>
      <c r="H40" s="14">
        <f>F40/G40-1</f>
        <v/>
      </c>
    </row>
    <row r="41">
      <c r="A41" s="5" t="n">
        <v>36</v>
      </c>
      <c r="B41" s="12" t="n">
        <v>44926</v>
      </c>
      <c r="C41" s="14" t="n">
        <v>-0.012</v>
      </c>
      <c r="D41" s="14" t="n">
        <v>-0.01</v>
      </c>
      <c r="E41" s="17">
        <f>C41-D41</f>
        <v/>
      </c>
      <c r="F41" s="15">
        <f>F40*(1+C41)</f>
        <v/>
      </c>
      <c r="G41" s="15">
        <f>G40*(1+D41)</f>
        <v/>
      </c>
      <c r="H41" s="14">
        <f>F41/G41-1</f>
        <v/>
      </c>
    </row>
    <row r="42">
      <c r="A42" s="5" t="n">
        <v>37</v>
      </c>
      <c r="B42" s="12" t="n">
        <v>44957</v>
      </c>
      <c r="C42" s="14" t="n">
        <v>0.028</v>
      </c>
      <c r="D42" s="14" t="n">
        <v>0.025</v>
      </c>
      <c r="E42" s="13">
        <f>C42-D42</f>
        <v/>
      </c>
      <c r="F42" s="15">
        <f>F41*(1+C42)</f>
        <v/>
      </c>
      <c r="G42" s="15">
        <f>G41*(1+D42)</f>
        <v/>
      </c>
      <c r="H42" s="14">
        <f>F42/G42-1</f>
        <v/>
      </c>
    </row>
    <row r="43">
      <c r="A43" s="5" t="n">
        <v>38</v>
      </c>
      <c r="B43" s="12" t="n">
        <v>44985</v>
      </c>
      <c r="C43" s="14" t="n">
        <v>0.015</v>
      </c>
      <c r="D43" s="14" t="n">
        <v>0.012</v>
      </c>
      <c r="E43" s="13">
        <f>C43-D43</f>
        <v/>
      </c>
      <c r="F43" s="15">
        <f>F42*(1+C43)</f>
        <v/>
      </c>
      <c r="G43" s="15">
        <f>G42*(1+D43)</f>
        <v/>
      </c>
      <c r="H43" s="14">
        <f>F43/G43-1</f>
        <v/>
      </c>
    </row>
    <row r="44">
      <c r="A44" s="5" t="n">
        <v>39</v>
      </c>
      <c r="B44" s="12" t="n">
        <v>45016</v>
      </c>
      <c r="C44" s="14" t="n">
        <v>0.022</v>
      </c>
      <c r="D44" s="14" t="n">
        <v>0.02</v>
      </c>
      <c r="E44" s="13">
        <f>C44-D44</f>
        <v/>
      </c>
      <c r="F44" s="15">
        <f>F43*(1+C44)</f>
        <v/>
      </c>
      <c r="G44" s="15">
        <f>G43*(1+D44)</f>
        <v/>
      </c>
      <c r="H44" s="14">
        <f>F44/G44-1</f>
        <v/>
      </c>
    </row>
    <row r="45">
      <c r="A45" s="5" t="n">
        <v>40</v>
      </c>
      <c r="B45" s="12" t="n">
        <v>45046</v>
      </c>
      <c r="C45" s="14" t="n">
        <v>-0.008</v>
      </c>
      <c r="D45" s="14" t="n">
        <v>-0.006</v>
      </c>
      <c r="E45" s="17">
        <f>C45-D45</f>
        <v/>
      </c>
      <c r="F45" s="15">
        <f>F44*(1+C45)</f>
        <v/>
      </c>
      <c r="G45" s="15">
        <f>G44*(1+D45)</f>
        <v/>
      </c>
      <c r="H45" s="14">
        <f>F45/G45-1</f>
        <v/>
      </c>
    </row>
    <row r="46">
      <c r="A46" s="5" t="n">
        <v>41</v>
      </c>
      <c r="B46" s="12" t="n">
        <v>45077</v>
      </c>
      <c r="C46" s="14" t="n">
        <v>0.032</v>
      </c>
      <c r="D46" s="14" t="n">
        <v>0.028</v>
      </c>
      <c r="E46" s="13">
        <f>C46-D46</f>
        <v/>
      </c>
      <c r="F46" s="15">
        <f>F45*(1+C46)</f>
        <v/>
      </c>
      <c r="G46" s="15">
        <f>G45*(1+D46)</f>
        <v/>
      </c>
      <c r="H46" s="14">
        <f>F46/G46-1</f>
        <v/>
      </c>
    </row>
    <row r="47">
      <c r="A47" s="5" t="n">
        <v>42</v>
      </c>
      <c r="B47" s="12" t="n">
        <v>45107</v>
      </c>
      <c r="C47" s="14" t="n">
        <v>0.018</v>
      </c>
      <c r="D47" s="14" t="n">
        <v>0.015</v>
      </c>
      <c r="E47" s="13">
        <f>C47-D47</f>
        <v/>
      </c>
      <c r="F47" s="15">
        <f>F46*(1+C47)</f>
        <v/>
      </c>
      <c r="G47" s="15">
        <f>G46*(1+D47)</f>
        <v/>
      </c>
      <c r="H47" s="14">
        <f>F47/G47-1</f>
        <v/>
      </c>
    </row>
    <row r="48">
      <c r="A48" s="5" t="n">
        <v>43</v>
      </c>
      <c r="B48" s="12" t="n">
        <v>45138</v>
      </c>
      <c r="C48" s="14" t="n">
        <v>0.025</v>
      </c>
      <c r="D48" s="14" t="n">
        <v>0.022</v>
      </c>
      <c r="E48" s="13">
        <f>C48-D48</f>
        <v/>
      </c>
      <c r="F48" s="15">
        <f>F47*(1+C48)</f>
        <v/>
      </c>
      <c r="G48" s="15">
        <f>G47*(1+D48)</f>
        <v/>
      </c>
      <c r="H48" s="14">
        <f>F48/G48-1</f>
        <v/>
      </c>
    </row>
    <row r="49">
      <c r="A49" s="5" t="n">
        <v>44</v>
      </c>
      <c r="B49" s="12" t="n">
        <v>45169</v>
      </c>
      <c r="C49" s="14" t="n">
        <v>-0.012</v>
      </c>
      <c r="D49" s="14" t="n">
        <v>-0.01</v>
      </c>
      <c r="E49" s="17">
        <f>C49-D49</f>
        <v/>
      </c>
      <c r="F49" s="15">
        <f>F48*(1+C49)</f>
        <v/>
      </c>
      <c r="G49" s="15">
        <f>G48*(1+D49)</f>
        <v/>
      </c>
      <c r="H49" s="14">
        <f>F49/G49-1</f>
        <v/>
      </c>
    </row>
    <row r="50">
      <c r="A50" s="5" t="n">
        <v>45</v>
      </c>
      <c r="B50" s="12" t="n">
        <v>45199</v>
      </c>
      <c r="C50" s="14" t="n">
        <v>0.015</v>
      </c>
      <c r="D50" s="14" t="n">
        <v>0.012</v>
      </c>
      <c r="E50" s="13">
        <f>C50-D50</f>
        <v/>
      </c>
      <c r="F50" s="15">
        <f>F49*(1+C50)</f>
        <v/>
      </c>
      <c r="G50" s="15">
        <f>G49*(1+D50)</f>
        <v/>
      </c>
      <c r="H50" s="14">
        <f>F50/G50-1</f>
        <v/>
      </c>
    </row>
    <row r="51">
      <c r="A51" s="5" t="n">
        <v>46</v>
      </c>
      <c r="B51" s="12" t="n">
        <v>45230</v>
      </c>
      <c r="C51" s="14" t="n">
        <v>0.028</v>
      </c>
      <c r="D51" s="14" t="n">
        <v>0.025</v>
      </c>
      <c r="E51" s="13">
        <f>C51-D51</f>
        <v/>
      </c>
      <c r="F51" s="15">
        <f>F50*(1+C51)</f>
        <v/>
      </c>
      <c r="G51" s="15">
        <f>G50*(1+D51)</f>
        <v/>
      </c>
      <c r="H51" s="14">
        <f>F51/G51-1</f>
        <v/>
      </c>
    </row>
    <row r="52">
      <c r="A52" s="5" t="n">
        <v>47</v>
      </c>
      <c r="B52" s="12" t="n">
        <v>45260</v>
      </c>
      <c r="C52" s="14" t="n">
        <v>0.022</v>
      </c>
      <c r="D52" s="14" t="n">
        <v>0.02</v>
      </c>
      <c r="E52" s="13">
        <f>C52-D52</f>
        <v/>
      </c>
      <c r="F52" s="15">
        <f>F51*(1+C52)</f>
        <v/>
      </c>
      <c r="G52" s="15">
        <f>G51*(1+D52)</f>
        <v/>
      </c>
      <c r="H52" s="14">
        <f>F52/G52-1</f>
        <v/>
      </c>
    </row>
    <row r="53">
      <c r="A53" s="5" t="n">
        <v>48</v>
      </c>
      <c r="B53" s="12" t="n">
        <v>45291</v>
      </c>
      <c r="C53" s="14" t="n">
        <v>0.018</v>
      </c>
      <c r="D53" s="14" t="n">
        <v>0.015</v>
      </c>
      <c r="E53" s="13">
        <f>C53-D53</f>
        <v/>
      </c>
      <c r="F53" s="15">
        <f>F52*(1+C53)</f>
        <v/>
      </c>
      <c r="G53" s="15">
        <f>G52*(1+D53)</f>
        <v/>
      </c>
      <c r="H53" s="14">
        <f>F53/G53-1</f>
        <v/>
      </c>
    </row>
    <row r="54">
      <c r="A54" s="5" t="n">
        <v>49</v>
      </c>
      <c r="B54" s="12" t="n">
        <v>45322</v>
      </c>
      <c r="C54" s="14" t="n">
        <v>0.022</v>
      </c>
      <c r="D54" s="14" t="n">
        <v>0.02</v>
      </c>
      <c r="E54" s="13">
        <f>C54-D54</f>
        <v/>
      </c>
      <c r="F54" s="15">
        <f>F53*(1+C54)</f>
        <v/>
      </c>
      <c r="G54" s="15">
        <f>G53*(1+D54)</f>
        <v/>
      </c>
      <c r="H54" s="14">
        <f>F54/G54-1</f>
        <v/>
      </c>
    </row>
    <row r="55">
      <c r="A55" s="5" t="n">
        <v>50</v>
      </c>
      <c r="B55" s="12" t="n">
        <v>45351</v>
      </c>
      <c r="C55" s="14" t="n">
        <v>0.015</v>
      </c>
      <c r="D55" s="14" t="n">
        <v>0.012</v>
      </c>
      <c r="E55" s="13">
        <f>C55-D55</f>
        <v/>
      </c>
      <c r="F55" s="15">
        <f>F54*(1+C55)</f>
        <v/>
      </c>
      <c r="G55" s="15">
        <f>G54*(1+D55)</f>
        <v/>
      </c>
      <c r="H55" s="14">
        <f>F55/G55-1</f>
        <v/>
      </c>
    </row>
    <row r="56">
      <c r="A56" s="5" t="n">
        <v>51</v>
      </c>
      <c r="B56" s="12" t="n">
        <v>45382</v>
      </c>
      <c r="C56" s="14" t="n">
        <v>0.028</v>
      </c>
      <c r="D56" s="14" t="n">
        <v>0.025</v>
      </c>
      <c r="E56" s="13">
        <f>C56-D56</f>
        <v/>
      </c>
      <c r="F56" s="15">
        <f>F55*(1+C56)</f>
        <v/>
      </c>
      <c r="G56" s="15">
        <f>G55*(1+D56)</f>
        <v/>
      </c>
      <c r="H56" s="14">
        <f>F56/G56-1</f>
        <v/>
      </c>
    </row>
    <row r="57">
      <c r="A57" s="5" t="n">
        <v>52</v>
      </c>
      <c r="B57" s="12" t="n">
        <v>45412</v>
      </c>
      <c r="C57" s="14" t="n">
        <v>0.012</v>
      </c>
      <c r="D57" s="14" t="n">
        <v>0.01</v>
      </c>
      <c r="E57" s="13">
        <f>C57-D57</f>
        <v/>
      </c>
      <c r="F57" s="15">
        <f>F56*(1+C57)</f>
        <v/>
      </c>
      <c r="G57" s="15">
        <f>G56*(1+D57)</f>
        <v/>
      </c>
      <c r="H57" s="14">
        <f>F57/G57-1</f>
        <v/>
      </c>
    </row>
    <row r="58">
      <c r="A58" s="5" t="n">
        <v>53</v>
      </c>
      <c r="B58" s="12" t="n">
        <v>45443</v>
      </c>
      <c r="C58" s="14" t="n">
        <v>-0.008</v>
      </c>
      <c r="D58" s="14" t="n">
        <v>-0.006</v>
      </c>
      <c r="E58" s="17">
        <f>C58-D58</f>
        <v/>
      </c>
      <c r="F58" s="15">
        <f>F57*(1+C58)</f>
        <v/>
      </c>
      <c r="G58" s="15">
        <f>G57*(1+D58)</f>
        <v/>
      </c>
      <c r="H58" s="14">
        <f>F58/G58-1</f>
        <v/>
      </c>
    </row>
    <row r="59">
      <c r="A59" s="5" t="n">
        <v>54</v>
      </c>
      <c r="B59" s="12" t="n">
        <v>45473</v>
      </c>
      <c r="C59" s="14" t="n">
        <v>0.025</v>
      </c>
      <c r="D59" s="14" t="n">
        <v>0.022</v>
      </c>
      <c r="E59" s="13">
        <f>C59-D59</f>
        <v/>
      </c>
      <c r="F59" s="15">
        <f>F58*(1+C59)</f>
        <v/>
      </c>
      <c r="G59" s="15">
        <f>G58*(1+D59)</f>
        <v/>
      </c>
      <c r="H59" s="14">
        <f>F59/G59-1</f>
        <v/>
      </c>
    </row>
    <row r="60">
      <c r="A60" s="5" t="n">
        <v>55</v>
      </c>
      <c r="B60" s="12" t="n">
        <v>45504</v>
      </c>
      <c r="C60" s="14" t="n">
        <v>0.018</v>
      </c>
      <c r="D60" s="14" t="n">
        <v>0.015</v>
      </c>
      <c r="E60" s="13">
        <f>C60-D60</f>
        <v/>
      </c>
      <c r="F60" s="15">
        <f>F59*(1+C60)</f>
        <v/>
      </c>
      <c r="G60" s="15">
        <f>G59*(1+D60)</f>
        <v/>
      </c>
      <c r="H60" s="14">
        <f>F60/G60-1</f>
        <v/>
      </c>
    </row>
    <row r="61">
      <c r="A61" s="5" t="n">
        <v>56</v>
      </c>
      <c r="B61" s="12" t="n">
        <v>45535</v>
      </c>
      <c r="C61" s="14" t="n">
        <v>0.022</v>
      </c>
      <c r="D61" s="14" t="n">
        <v>0.02</v>
      </c>
      <c r="E61" s="13">
        <f>C61-D61</f>
        <v/>
      </c>
      <c r="F61" s="15">
        <f>F60*(1+C61)</f>
        <v/>
      </c>
      <c r="G61" s="15">
        <f>G60*(1+D61)</f>
        <v/>
      </c>
      <c r="H61" s="14">
        <f>F61/G61-1</f>
        <v/>
      </c>
    </row>
    <row r="62">
      <c r="A62" s="5" t="n">
        <v>57</v>
      </c>
      <c r="B62" s="12" t="n">
        <v>45565</v>
      </c>
      <c r="C62" s="14" t="n">
        <v>-0.015</v>
      </c>
      <c r="D62" s="14" t="n">
        <v>-0.012</v>
      </c>
      <c r="E62" s="17">
        <f>C62-D62</f>
        <v/>
      </c>
      <c r="F62" s="15">
        <f>F61*(1+C62)</f>
        <v/>
      </c>
      <c r="G62" s="15">
        <f>G61*(1+D62)</f>
        <v/>
      </c>
      <c r="H62" s="14">
        <f>F62/G62-1</f>
        <v/>
      </c>
    </row>
    <row r="63">
      <c r="A63" s="5" t="n">
        <v>58</v>
      </c>
      <c r="B63" s="12" t="n">
        <v>45596</v>
      </c>
      <c r="C63" s="14" t="n">
        <v>0.032</v>
      </c>
      <c r="D63" s="14" t="n">
        <v>0.028</v>
      </c>
      <c r="E63" s="13">
        <f>C63-D63</f>
        <v/>
      </c>
      <c r="F63" s="15">
        <f>F62*(1+C63)</f>
        <v/>
      </c>
      <c r="G63" s="15">
        <f>G62*(1+D63)</f>
        <v/>
      </c>
      <c r="H63" s="14">
        <f>F63/G63-1</f>
        <v/>
      </c>
    </row>
    <row r="64">
      <c r="A64" s="5" t="n">
        <v>59</v>
      </c>
      <c r="B64" s="12" t="n">
        <v>45626</v>
      </c>
      <c r="C64" s="14" t="n">
        <v>0.025</v>
      </c>
      <c r="D64" s="14" t="n">
        <v>0.022</v>
      </c>
      <c r="E64" s="13">
        <f>C64-D64</f>
        <v/>
      </c>
      <c r="F64" s="15">
        <f>F63*(1+C64)</f>
        <v/>
      </c>
      <c r="G64" s="15">
        <f>G63*(1+D64)</f>
        <v/>
      </c>
      <c r="H64" s="14">
        <f>F64/G64-1</f>
        <v/>
      </c>
    </row>
    <row r="65">
      <c r="A65" s="5" t="n">
        <v>60</v>
      </c>
      <c r="B65" s="12" t="n">
        <v>45657</v>
      </c>
      <c r="C65" s="14" t="n">
        <v>0.018</v>
      </c>
      <c r="D65" s="14" t="n">
        <v>0.015</v>
      </c>
      <c r="E65" s="13">
        <f>C65-D65</f>
        <v/>
      </c>
      <c r="F65" s="15">
        <f>F64*(1+C65)</f>
        <v/>
      </c>
      <c r="G65" s="15">
        <f>G64*(1+D65)</f>
        <v/>
      </c>
      <c r="H65" s="14">
        <f>F65/G65-1</f>
        <v/>
      </c>
    </row>
    <row r="68">
      <c r="A68" s="21" t="inlineStr">
        <is>
          <t>RELATIVE PERFORMANCE METRICS</t>
        </is>
      </c>
    </row>
    <row r="69">
      <c r="A69" s="8" t="inlineStr">
        <is>
          <t>Metric</t>
        </is>
      </c>
      <c r="B69" s="8" t="inlineStr">
        <is>
          <t>Formula</t>
        </is>
      </c>
      <c r="C69" s="8" t="inlineStr">
        <is>
          <t>Result</t>
        </is>
      </c>
    </row>
    <row r="70">
      <c r="A70" s="5" t="inlineStr">
        <is>
          <t>Cumulative Outperformance</t>
        </is>
      </c>
      <c r="B70" s="5">
        <f>F65/G65-1</f>
        <v/>
      </c>
      <c r="C70" s="23">
        <f>F65/G65-1</f>
        <v/>
      </c>
    </row>
    <row r="71">
      <c r="A71" s="5" t="inlineStr">
        <is>
          <t>Information Ratio</t>
        </is>
      </c>
      <c r="B71" s="5">
        <f>AVERAGE(E6:E65)/STDEV(E6:E65)*SQRT(12)</f>
        <v/>
      </c>
      <c r="C71" s="22">
        <f>AVERAGE(E6:E65)/STDEV(E6:E65)*SQRT(12)</f>
        <v/>
      </c>
    </row>
    <row r="72">
      <c r="A72" s="5" t="inlineStr">
        <is>
          <t>Tracking Error</t>
        </is>
      </c>
      <c r="B72" s="5">
        <f>STDEV(E6:E65)*SQRT(12)</f>
        <v/>
      </c>
      <c r="C72" s="23">
        <f>STDEV(E6:E65)*SQRT(12)</f>
        <v/>
      </c>
    </row>
    <row r="73">
      <c r="A73" s="5" t="inlineStr">
        <is>
          <t>Months Outperformed</t>
        </is>
      </c>
      <c r="B73" s="5">
        <f>COUNTIF(E6:E65,"&gt;0")</f>
        <v/>
      </c>
      <c r="C73" s="23">
        <f>COUNTIF(E6:E65,"&gt;0")</f>
        <v/>
      </c>
    </row>
    <row r="74">
      <c r="A74" s="5" t="inlineStr">
        <is>
          <t>Hit Rate</t>
        </is>
      </c>
      <c r="B74" s="5">
        <f>COUNTIF(E6:E65,"&gt;0")/60</f>
        <v/>
      </c>
      <c r="C74" s="22">
        <f>COUNTIF(E6:E65,"&gt;0")/60</f>
        <v/>
      </c>
    </row>
    <row r="75">
      <c r="A75" s="5" t="inlineStr">
        <is>
          <t>Average Excess Return</t>
        </is>
      </c>
      <c r="B75" s="5">
        <f>AVERAGE(E6:E65)</f>
        <v/>
      </c>
      <c r="C75" s="23">
        <f>AVERAGE(E6:E65)</f>
        <v/>
      </c>
    </row>
    <row r="76">
      <c r="A76" s="5" t="inlineStr">
        <is>
          <t>Best Outperformance</t>
        </is>
      </c>
      <c r="B76" s="5">
        <f>MAX(E6:E65)</f>
        <v/>
      </c>
      <c r="C76" s="23">
        <f>MAX(E6:E65)</f>
        <v/>
      </c>
    </row>
    <row r="77">
      <c r="A77" s="5" t="inlineStr">
        <is>
          <t>Worst Underperformance</t>
        </is>
      </c>
      <c r="B77" s="5">
        <f>MIN(E6:E65)</f>
        <v/>
      </c>
      <c r="C77" s="23">
        <f>MIN(E6:E65)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40" customWidth="1" min="4" max="4"/>
  </cols>
  <sheetData>
    <row r="1">
      <c r="A1" s="3" t="inlineStr">
        <is>
          <t>GIPS / CFA INSTITUTE FORMULA REFERENCE</t>
        </is>
      </c>
    </row>
    <row r="3">
      <c r="A3" s="48" t="inlineStr">
        <is>
          <t>All formulas comply with GIPS 2020 standards and CFA Institute methodology</t>
        </is>
      </c>
    </row>
    <row r="5">
      <c r="A5" s="8" t="inlineStr">
        <is>
          <t>Metric</t>
        </is>
      </c>
      <c r="B5" s="8" t="inlineStr">
        <is>
          <t>Formula</t>
        </is>
      </c>
      <c r="C5" s="8" t="inlineStr">
        <is>
          <t>GIPS/CFA Reference</t>
        </is>
      </c>
      <c r="D5" s="8" t="inlineStr">
        <is>
          <t>Excel Implementation</t>
        </is>
      </c>
    </row>
    <row r="6">
      <c r="A6" s="5" t="inlineStr">
        <is>
          <t>Time-Weighted Return (Monthly)</t>
        </is>
      </c>
      <c r="B6" s="49" t="inlineStr">
        <is>
          <t>TWR = (EMV - BMV - CF) / (BMV + W×CF)</t>
        </is>
      </c>
      <c r="C6" s="5" t="inlineStr">
        <is>
          <t>GIPS 2020 Section 2.A.1</t>
        </is>
      </c>
      <c r="D6" s="5">
        <f>(EndValue-BeginValue)/BeginValue</f>
        <v/>
      </c>
    </row>
    <row r="7">
      <c r="A7" s="5" t="inlineStr">
        <is>
          <t>Geometric Linking</t>
        </is>
      </c>
      <c r="B7" s="49" t="inlineStr">
        <is>
          <t>∏(1 + Ri) - 1</t>
        </is>
      </c>
      <c r="C7" s="5" t="inlineStr">
        <is>
          <t>GIPS 2020 Section 2.A.2</t>
        </is>
      </c>
      <c r="D7" s="5" t="inlineStr">
        <is>
          <t>PRODUCT(1+R1:Rn)-1</t>
        </is>
      </c>
    </row>
    <row r="8">
      <c r="A8" s="5" t="inlineStr">
        <is>
          <t>Cumulative Return</t>
        </is>
      </c>
      <c r="B8" s="49" t="inlineStr">
        <is>
          <t>Cum = ∏(1 + Ri) - 1</t>
        </is>
      </c>
      <c r="C8" s="5" t="inlineStr">
        <is>
          <t>GIPS 2020 Section 2.A.3</t>
        </is>
      </c>
      <c r="D8" s="5">
        <f>PRODUCT(1+returns)-1</f>
        <v/>
      </c>
    </row>
    <row r="9">
      <c r="A9" s="5" t="inlineStr">
        <is>
          <t>Annualized Return (CAGR)</t>
        </is>
      </c>
      <c r="B9" s="49" t="inlineStr">
        <is>
          <t>(1 + Cum)^(1/n) - 1</t>
        </is>
      </c>
      <c r="C9" s="5" t="inlineStr">
        <is>
          <t>CFA Level I - Quantitative</t>
        </is>
      </c>
      <c r="D9" s="5">
        <f>POWER(1+Cum,1/n)-1</f>
        <v/>
      </c>
    </row>
    <row r="10">
      <c r="A10" s="5" t="inlineStr">
        <is>
          <t>Annualized Volatility</t>
        </is>
      </c>
      <c r="B10" s="49" t="inlineStr">
        <is>
          <t>σ_annual = σ_period × √(periods/year)</t>
        </is>
      </c>
      <c r="C10" s="5" t="inlineStr">
        <is>
          <t>CFA Level II - Portfolio</t>
        </is>
      </c>
      <c r="D10" s="5">
        <f>STDEV(returns)*SQRT(12)</f>
        <v/>
      </c>
    </row>
    <row r="11">
      <c r="A11" s="5" t="inlineStr">
        <is>
          <t>Sharpe Ratio</t>
        </is>
      </c>
      <c r="B11" s="49" t="inlineStr">
        <is>
          <t>(Rp - Rf) / σp</t>
        </is>
      </c>
      <c r="C11" s="5" t="inlineStr">
        <is>
          <t>CFA Level I - Portfolio</t>
        </is>
      </c>
      <c r="D11" s="5">
        <f>(AnnReturn-Rf)/AnnVol</f>
        <v/>
      </c>
    </row>
    <row r="12">
      <c r="A12" s="5" t="inlineStr">
        <is>
          <t>Sortino Ratio</t>
        </is>
      </c>
      <c r="B12" s="49" t="inlineStr">
        <is>
          <t>(Rp - Rf) / σ_downside</t>
        </is>
      </c>
      <c r="C12" s="5" t="inlineStr">
        <is>
          <t>CFA Level III - Performance</t>
        </is>
      </c>
      <c r="D12" s="5">
        <f>(AnnReturn-Rf)/DownsideDev</f>
        <v/>
      </c>
    </row>
    <row r="13">
      <c r="A13" s="5" t="inlineStr">
        <is>
          <t>Downside Deviation</t>
        </is>
      </c>
      <c r="B13" s="49" t="inlineStr">
        <is>
          <t>√[Σ(min(Ri-MAR,0))² / n]</t>
        </is>
      </c>
      <c r="C13" s="5" t="inlineStr">
        <is>
          <t>Post-Modern Portfolio Theory</t>
        </is>
      </c>
      <c r="D13" s="5">
        <f>STDEV(negative returns)*SQRT(12)</f>
        <v/>
      </c>
    </row>
    <row r="14">
      <c r="A14" s="5" t="inlineStr">
        <is>
          <t>Maximum Drawdown</t>
        </is>
      </c>
      <c r="B14" s="49" t="inlineStr">
        <is>
          <t>max[(Peak - Trough) / Peak]</t>
        </is>
      </c>
      <c r="C14" s="5" t="inlineStr">
        <is>
          <t>GIPS 2020 Guidance</t>
        </is>
      </c>
      <c r="D14" s="5">
        <f>MIN(drawdown series)</f>
        <v/>
      </c>
    </row>
    <row r="15">
      <c r="A15" s="5" t="inlineStr">
        <is>
          <t>Calmar Ratio</t>
        </is>
      </c>
      <c r="B15" s="49" t="inlineStr">
        <is>
          <t>CAGR / |Max Drawdown|</t>
        </is>
      </c>
      <c r="C15" s="5" t="inlineStr">
        <is>
          <t>Hedge Fund Standard</t>
        </is>
      </c>
      <c r="D15" s="5">
        <f>CAGR/ABS(MaxDD)</f>
        <v/>
      </c>
    </row>
    <row r="16">
      <c r="A16" s="5" t="inlineStr">
        <is>
          <t>Jensen's Alpha</t>
        </is>
      </c>
      <c r="B16" s="49" t="inlineStr">
        <is>
          <t>α = Rp - [Rf + β(Rm - Rf)]</t>
        </is>
      </c>
      <c r="C16" s="5" t="inlineStr">
        <is>
          <t>CFA Level I - CAPM</t>
        </is>
      </c>
      <c r="D16" s="5">
        <f>AnnReturn-(Rf+Beta*(MktRet-Rf))</f>
        <v/>
      </c>
    </row>
    <row r="17">
      <c r="A17" s="5" t="inlineStr">
        <is>
          <t>Information Ratio</t>
        </is>
      </c>
      <c r="B17" s="49" t="inlineStr">
        <is>
          <t>IR = (Rp - Rb) / TE</t>
        </is>
      </c>
      <c r="C17" s="5" t="inlineStr">
        <is>
          <t>GIPS 2020 Guidance</t>
        </is>
      </c>
      <c r="D17" s="5">
        <f>AVERAGE(excess)/STDEV(excess)*SQRT(12)</f>
        <v/>
      </c>
    </row>
    <row r="18">
      <c r="A18" s="5" t="inlineStr">
        <is>
          <t>Tracking Error</t>
        </is>
      </c>
      <c r="B18" s="49" t="inlineStr">
        <is>
          <t>TE = σ(Rp - Rb)</t>
        </is>
      </c>
      <c r="C18" s="5" t="inlineStr">
        <is>
          <t>CFA Level II - Portfolio</t>
        </is>
      </c>
      <c r="D18" s="5">
        <f>STDEV(excess returns)*SQRT(12)</f>
        <v/>
      </c>
    </row>
    <row r="19">
      <c r="A19" s="5" t="inlineStr">
        <is>
          <t>Beta</t>
        </is>
      </c>
      <c r="B19" s="49" t="inlineStr">
        <is>
          <t>β = Cov(Rp,Rm) / Var(Rm)</t>
        </is>
      </c>
      <c r="C19" s="5" t="inlineStr">
        <is>
          <t>CFA Level I - CAPM</t>
        </is>
      </c>
      <c r="D19" s="5">
        <f>COVAR(port,bench)/VAR(bench)</f>
        <v/>
      </c>
    </row>
    <row r="20">
      <c r="A20" s="5" t="inlineStr">
        <is>
          <t>Treynor Ratio</t>
        </is>
      </c>
      <c r="B20" s="49" t="inlineStr">
        <is>
          <t>(Rp - Rf) / β</t>
        </is>
      </c>
      <c r="C20" s="5" t="inlineStr">
        <is>
          <t>CFA Level I - Portfolio</t>
        </is>
      </c>
      <c r="D20" s="5">
        <f>(AnnReturn-Rf)/Beta</f>
        <v/>
      </c>
    </row>
    <row r="21">
      <c r="A21" s="5" t="inlineStr">
        <is>
          <t>Internal Dispersion</t>
        </is>
      </c>
      <c r="B21" s="49" t="inlineStr">
        <is>
          <t>Asset-Weighted StdDev of Portfolio Returns</t>
        </is>
      </c>
      <c r="C21" s="5" t="inlineStr">
        <is>
          <t>GIPS 2020 Section 4.A.1</t>
        </is>
      </c>
      <c r="D21" s="5" t="inlineStr">
        <is>
          <t>For composites with &gt;5 portfolios</t>
        </is>
      </c>
    </row>
    <row r="22">
      <c r="A22" s="5" t="inlineStr">
        <is>
          <t>3-Yr Annualized StdDev</t>
        </is>
      </c>
      <c r="B22" s="49" t="inlineStr">
        <is>
          <t>σ_monthly × √12 (36-month)</t>
        </is>
      </c>
      <c r="C22" s="5" t="inlineStr">
        <is>
          <t>GIPS 2020 Section 4.A.2</t>
        </is>
      </c>
      <c r="D22" s="5">
        <f>STDEV(36 months)*SQRT(12)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20" customWidth="1" min="3" max="3"/>
    <col width="35" customWidth="1" min="4" max="4"/>
  </cols>
  <sheetData>
    <row r="1">
      <c r="A1" s="3" t="inlineStr">
        <is>
          <t>DATA SOURCES AND VALIDATION</t>
        </is>
      </c>
    </row>
    <row r="3">
      <c r="A3" s="8" t="inlineStr">
        <is>
          <t>Data Element</t>
        </is>
      </c>
      <c r="B3" s="8" t="inlineStr">
        <is>
          <t>Source</t>
        </is>
      </c>
      <c r="C3" s="8" t="inlineStr">
        <is>
          <t>Frequency</t>
        </is>
      </c>
      <c r="D3" s="8" t="inlineStr">
        <is>
          <t>Validation Method</t>
        </is>
      </c>
    </row>
    <row r="4">
      <c r="A4" s="5" t="inlineStr">
        <is>
          <t>Portfolio Monthly Returns</t>
        </is>
      </c>
      <c r="B4" s="5" t="inlineStr">
        <is>
          <t>Client Custodian Statements</t>
        </is>
      </c>
      <c r="C4" s="5" t="inlineStr">
        <is>
          <t>Monthly</t>
        </is>
      </c>
      <c r="D4" s="5" t="inlineStr">
        <is>
          <t>Reconciled to custodian records</t>
        </is>
      </c>
    </row>
    <row r="5">
      <c r="A5" s="5" t="inlineStr">
        <is>
          <t>Portfolio Market Values</t>
        </is>
      </c>
      <c r="B5" s="5" t="inlineStr">
        <is>
          <t>Client Custodian Statements</t>
        </is>
      </c>
      <c r="C5" s="5" t="inlineStr">
        <is>
          <t>Monthly</t>
        </is>
      </c>
      <c r="D5" s="5" t="inlineStr">
        <is>
          <t>Third-party verification</t>
        </is>
      </c>
    </row>
    <row r="6">
      <c r="A6" s="5" t="inlineStr">
        <is>
          <t>Cash Flows</t>
        </is>
      </c>
      <c r="B6" s="5" t="inlineStr">
        <is>
          <t>Client Custodian Statements</t>
        </is>
      </c>
      <c r="C6" s="5" t="inlineStr">
        <is>
          <t>Daily</t>
        </is>
      </c>
      <c r="D6" s="5" t="inlineStr">
        <is>
          <t>Reconciled to bank records</t>
        </is>
      </c>
    </row>
    <row r="7">
      <c r="A7" s="5" t="inlineStr">
        <is>
          <t>Benchmark Returns</t>
        </is>
      </c>
      <c r="B7" s="5" t="inlineStr">
        <is>
          <t>Bloomberg / FactSet / S&amp;P</t>
        </is>
      </c>
      <c r="C7" s="5" t="inlineStr">
        <is>
          <t>Monthly</t>
        </is>
      </c>
      <c r="D7" s="5" t="inlineStr">
        <is>
          <t>Multiple source verification</t>
        </is>
      </c>
    </row>
    <row r="8">
      <c r="A8" s="5" t="inlineStr">
        <is>
          <t>Risk-Free Rate</t>
        </is>
      </c>
      <c r="B8" s="5" t="inlineStr">
        <is>
          <t>US Treasury / Federal Reserve</t>
        </is>
      </c>
      <c r="C8" s="5" t="inlineStr">
        <is>
          <t>Monthly</t>
        </is>
      </c>
      <c r="D8" s="5" t="inlineStr">
        <is>
          <t>FRED database</t>
        </is>
      </c>
    </row>
    <row r="9">
      <c r="A9" s="5" t="inlineStr">
        <is>
          <t>Holdings Data</t>
        </is>
      </c>
      <c r="B9" s="5" t="inlineStr">
        <is>
          <t>Client Custodian Statements</t>
        </is>
      </c>
      <c r="C9" s="5" t="inlineStr">
        <is>
          <t>Monthly</t>
        </is>
      </c>
      <c r="D9" s="5" t="inlineStr">
        <is>
          <t>Security-level reconciliation</t>
        </is>
      </c>
    </row>
    <row r="10">
      <c r="A10" s="5" t="inlineStr">
        <is>
          <t>Transaction Data</t>
        </is>
      </c>
      <c r="B10" s="5" t="inlineStr">
        <is>
          <t>Client Custodian Statements</t>
        </is>
      </c>
      <c r="C10" s="5" t="inlineStr">
        <is>
          <t>Daily</t>
        </is>
      </c>
      <c r="D10" s="5" t="inlineStr">
        <is>
          <t>Trade confirmation matching</t>
        </is>
      </c>
    </row>
    <row r="11">
      <c r="A11" s="5" t="inlineStr">
        <is>
          <t>Pricing Data</t>
        </is>
      </c>
      <c r="B11" s="5" t="inlineStr">
        <is>
          <t>Bloomberg / Exchange</t>
        </is>
      </c>
      <c r="C11" s="5" t="inlineStr">
        <is>
          <t>Daily</t>
        </is>
      </c>
      <c r="D11" s="5" t="inlineStr">
        <is>
          <t>Multi-source pricing</t>
        </is>
      </c>
    </row>
    <row r="14">
      <c r="A14" s="21" t="inlineStr">
        <is>
          <t>AUDIT TRAIL</t>
        </is>
      </c>
    </row>
    <row r="15">
      <c r="A15" s="8" t="inlineStr">
        <is>
          <t>Action</t>
        </is>
      </c>
      <c r="B15" s="8" t="inlineStr">
        <is>
          <t>Date</t>
        </is>
      </c>
      <c r="C15" s="8" t="inlineStr">
        <is>
          <t>Performed By</t>
        </is>
      </c>
      <c r="D15" s="8" t="inlineStr">
        <is>
          <t>Notes</t>
        </is>
      </c>
    </row>
    <row r="16">
      <c r="A16" s="5" t="inlineStr">
        <is>
          <t>Data Collection</t>
        </is>
      </c>
      <c r="B16" s="5" t="inlineStr">
        <is>
          <t>2026-01-21</t>
        </is>
      </c>
      <c r="C16" s="5" t="inlineStr">
        <is>
          <t>GIPS Calculation Engine</t>
        </is>
      </c>
      <c r="D16" s="5" t="inlineStr">
        <is>
          <t>Automated extraction</t>
        </is>
      </c>
    </row>
    <row r="17">
      <c r="A17" s="5" t="inlineStr">
        <is>
          <t>Return Calculation</t>
        </is>
      </c>
      <c r="B17" s="5" t="inlineStr">
        <is>
          <t>2026-01-21</t>
        </is>
      </c>
      <c r="C17" s="5" t="inlineStr">
        <is>
          <t>GIPS Calculation Engine</t>
        </is>
      </c>
      <c r="D17" s="5" t="inlineStr">
        <is>
          <t>TWR methodology</t>
        </is>
      </c>
    </row>
    <row r="18">
      <c r="A18" s="5" t="inlineStr">
        <is>
          <t>Verification</t>
        </is>
      </c>
      <c r="B18" s="5" t="inlineStr">
        <is>
          <t>2026-01-21</t>
        </is>
      </c>
      <c r="C18" s="5" t="inlineStr">
        <is>
          <t>Self-Verification</t>
        </is>
      </c>
      <c r="D18" s="5" t="inlineStr">
        <is>
          <t>Pending independent review</t>
        </is>
      </c>
    </row>
    <row r="19">
      <c r="A19" s="5" t="inlineStr">
        <is>
          <t>Documentation</t>
        </is>
      </c>
      <c r="B19" s="5" t="inlineStr">
        <is>
          <t>2026-01-21</t>
        </is>
      </c>
      <c r="C19" s="5" t="inlineStr">
        <is>
          <t>GIPS Calculation Engine</t>
        </is>
      </c>
      <c r="D19" s="5" t="inlineStr">
        <is>
          <t>Complete package generated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2026-01-21T13:21:58Z</dcterms:created>
  <dcterms:modified xsi:type="dcterms:W3CDTF">2026-01-21T13:21:58Z</dcterms:modified>
</cp:coreProperties>
</file>