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Source_Data" sheetId="1" state="visible" r:id="rId1"/>
    <sheet name="2_TWR_Calculation" sheetId="2" state="visible" r:id="rId2"/>
    <sheet name="3_Annualized_Return" sheetId="3" state="visible" r:id="rId3"/>
    <sheet name="4_Risk_Metrics" sheetId="4" state="visible" r:id="rId4"/>
    <sheet name="5_Benchmark_Source" sheetId="5" state="visible" r:id="rId5"/>
    <sheet name="6_Data_Lineage" sheetId="6" state="visible" r:id="rId6"/>
    <sheet name="7_GIPS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00"/>
    <numFmt numFmtId="165" formatCode="0.0000%"/>
    <numFmt numFmtId="166" formatCode="0.0000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00FFFFFF"/>
      <sz val="11"/>
    </font>
    <font>
      <i val="1"/>
      <color rgb="008B4513"/>
      <sz val="10"/>
    </font>
  </fonts>
  <fills count="6">
    <fill>
      <patternFill/>
    </fill>
    <fill>
      <patternFill patternType="gray125"/>
    </fill>
    <fill>
      <patternFill patternType="solid">
        <fgColor rgb="00D4EDDA"/>
        <bgColor rgb="00D4EDDA"/>
      </patternFill>
    </fill>
    <fill>
      <patternFill patternType="solid">
        <fgColor rgb="000A2540"/>
        <bgColor rgb="000A2540"/>
      </patternFill>
    </fill>
    <fill>
      <patternFill patternType="solid">
        <fgColor rgb="00FFF3CD"/>
        <bgColor rgb="00FFF3CD"/>
      </patternFill>
    </fill>
    <fill>
      <patternFill patternType="solid">
        <fgColor rgb="00CCE5FF"/>
        <bgColor rgb="00CCE5FF"/>
      </patternFill>
    </fill>
  </fills>
  <borders count="2">
    <border>
      <left/>
      <right/>
      <top/>
      <bottom/>
      <diagonal/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pivotButton="0" quotePrefix="0" xfId="0"/>
    <xf numFmtId="164" fontId="0" fillId="2" borderId="0" pivotButton="0" quotePrefix="0" xfId="0"/>
    <xf numFmtId="0" fontId="2" fillId="0" borderId="0" pivotButton="0" quotePrefix="0" xfId="0"/>
    <xf numFmtId="0" fontId="0" fillId="4" borderId="0" pivotButton="0" quotePrefix="0" xfId="0"/>
    <xf numFmtId="165" fontId="0" fillId="2" borderId="0" pivotButton="0" quotePrefix="0" xfId="0"/>
    <xf numFmtId="10" fontId="0" fillId="4" borderId="0" pivotButton="0" quotePrefix="0" xfId="0"/>
    <xf numFmtId="0" fontId="4" fillId="0" borderId="0" pivotButton="0" quotePrefix="0" xfId="0"/>
    <xf numFmtId="10" fontId="0" fillId="5" borderId="0" pivotButton="0" quotePrefix="0" xfId="0"/>
    <xf numFmtId="0" fontId="0" fillId="2" borderId="0" pivotButton="0" quotePrefix="0" xfId="0"/>
    <xf numFmtId="166" fontId="0" fillId="5" borderId="0" pivotButton="0" quotePrefix="0" xfId="0"/>
    <xf numFmtId="10" fontId="0" fillId="2" borderId="0" pivotButton="0" quotePrefix="0" xfId="0"/>
    <xf numFmtId="10" fontId="0" fillId="0" borderId="0" pivotButton="0" quotePrefix="0" xfId="0"/>
    <xf numFmtId="0" fontId="3" fillId="3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cols>
    <col width="35" customWidth="1" min="1" max="1"/>
    <col width="33" customWidth="1" min="2" max="2"/>
    <col width="19" customWidth="1" min="3" max="3"/>
    <col width="18" customWidth="1" min="4" max="4"/>
    <col width="26" customWidth="1" min="5" max="5"/>
    <col width="2" customWidth="1" min="6" max="6"/>
    <col width="2" customWidth="1" min="7" max="7"/>
    <col width="2" customWidth="1" min="8" max="8"/>
  </cols>
  <sheetData>
    <row r="1">
      <c r="A1" s="1" t="inlineStr">
        <is>
          <t>═══ SOURCE DATA - RAW INPUT ═══</t>
        </is>
      </c>
    </row>
    <row r="2"/>
    <row r="3">
      <c r="A3" t="inlineStr">
        <is>
          <t>Data Import Date:</t>
        </is>
      </c>
      <c r="B3" t="inlineStr">
        <is>
          <t>2026-01-21 20:06:35</t>
        </is>
      </c>
    </row>
    <row r="4">
      <c r="A4" t="inlineStr">
        <is>
          <t>Source File:</t>
        </is>
      </c>
      <c r="B4" t="inlineStr">
        <is>
          <t>SCHWAB_INSTITUTIONAL_EXPORT.csv</t>
        </is>
      </c>
    </row>
    <row r="5">
      <c r="A5" t="inlineStr">
        <is>
          <t>Account Name:</t>
        </is>
      </c>
      <c r="B5" t="inlineStr">
        <is>
          <t>Composite</t>
        </is>
      </c>
    </row>
    <row r="6"/>
    <row r="7">
      <c r="A7" s="2" t="inlineStr">
        <is>
          <t>MONTHLY VALUATIONS (Raw from CSV)</t>
        </is>
      </c>
    </row>
    <row r="8">
      <c r="A8" s="3" t="inlineStr">
        <is>
          <t>Date</t>
        </is>
      </c>
      <c r="B8" s="3" t="inlineStr">
        <is>
          <t>Portfolio Value</t>
        </is>
      </c>
      <c r="C8" s="3" t="inlineStr">
        <is>
          <t>Net Contributions</t>
        </is>
      </c>
      <c r="D8" s="3" t="inlineStr">
        <is>
          <t>Monthly Return %</t>
        </is>
      </c>
      <c r="E8" s="3" t="inlineStr">
        <is>
          <t>Monthly Return (decimal)</t>
        </is>
      </c>
    </row>
    <row r="9">
      <c r="A9" t="inlineStr">
        <is>
          <t>2020-01</t>
        </is>
      </c>
      <c r="B9" t="inlineStr"/>
      <c r="C9" t="n">
        <v>0</v>
      </c>
      <c r="D9" t="inlineStr">
        <is>
          <t>0.00%</t>
        </is>
      </c>
      <c r="E9" s="4" t="n">
        <v>0</v>
      </c>
    </row>
    <row r="10">
      <c r="A10" t="inlineStr">
        <is>
          <t>2020-02</t>
        </is>
      </c>
      <c r="B10" t="inlineStr"/>
      <c r="C10" t="n">
        <v>0</v>
      </c>
      <c r="D10" t="inlineStr">
        <is>
          <t>0.25%</t>
        </is>
      </c>
      <c r="E10" s="4" t="n">
        <v>0.0025</v>
      </c>
    </row>
    <row r="11">
      <c r="A11" t="inlineStr">
        <is>
          <t>2020-03</t>
        </is>
      </c>
      <c r="B11" t="inlineStr"/>
      <c r="C11" t="n">
        <v>0</v>
      </c>
      <c r="D11" t="inlineStr">
        <is>
          <t>-7.72%</t>
        </is>
      </c>
      <c r="E11" s="4" t="n">
        <v>-0.07719999999999999</v>
      </c>
    </row>
    <row r="12">
      <c r="A12" t="inlineStr">
        <is>
          <t>2020-04</t>
        </is>
      </c>
      <c r="B12" t="inlineStr"/>
      <c r="C12" t="n">
        <v>0</v>
      </c>
      <c r="D12" t="inlineStr">
        <is>
          <t>-11.45%</t>
        </is>
      </c>
      <c r="E12" s="4" t="n">
        <v>-0.1145</v>
      </c>
    </row>
    <row r="13">
      <c r="A13" t="inlineStr">
        <is>
          <t>2020-05</t>
        </is>
      </c>
      <c r="B13" t="inlineStr"/>
      <c r="C13" t="n">
        <v>0</v>
      </c>
      <c r="D13" t="inlineStr">
        <is>
          <t>12.65%</t>
        </is>
      </c>
      <c r="E13" s="4" t="n">
        <v>0.1265</v>
      </c>
    </row>
    <row r="14">
      <c r="A14" t="inlineStr">
        <is>
          <t>2020-06</t>
        </is>
      </c>
      <c r="B14" t="inlineStr"/>
      <c r="C14" t="n">
        <v>0</v>
      </c>
      <c r="D14" t="inlineStr">
        <is>
          <t>4.56%</t>
        </is>
      </c>
      <c r="E14" s="4" t="n">
        <v>0.04559999999999999</v>
      </c>
    </row>
    <row r="15">
      <c r="A15" t="inlineStr">
        <is>
          <t>2020-07</t>
        </is>
      </c>
      <c r="B15" t="inlineStr"/>
      <c r="C15" t="n">
        <v>0</v>
      </c>
      <c r="D15" t="inlineStr">
        <is>
          <t>2.00%</t>
        </is>
      </c>
      <c r="E15" s="4" t="n">
        <v>0.02</v>
      </c>
    </row>
    <row r="16">
      <c r="A16" t="inlineStr">
        <is>
          <t>2020-08</t>
        </is>
      </c>
      <c r="B16" t="inlineStr"/>
      <c r="C16" t="n">
        <v>0</v>
      </c>
      <c r="D16" t="inlineStr">
        <is>
          <t>5.85%</t>
        </is>
      </c>
      <c r="E16" s="4" t="n">
        <v>0.0585</v>
      </c>
    </row>
    <row r="17">
      <c r="A17" t="inlineStr">
        <is>
          <t>2020-09</t>
        </is>
      </c>
      <c r="B17" t="inlineStr"/>
      <c r="C17" t="n">
        <v>0</v>
      </c>
      <c r="D17" t="inlineStr">
        <is>
          <t>7.11%</t>
        </is>
      </c>
      <c r="E17" s="4" t="n">
        <v>0.0711</v>
      </c>
    </row>
    <row r="18">
      <c r="A18" t="inlineStr">
        <is>
          <t>2020-10</t>
        </is>
      </c>
      <c r="B18" t="inlineStr"/>
      <c r="C18" t="n">
        <v>0</v>
      </c>
      <c r="D18" t="inlineStr">
        <is>
          <t>-3.52%</t>
        </is>
      </c>
      <c r="E18" s="4" t="n">
        <v>-0.0352</v>
      </c>
    </row>
    <row r="19">
      <c r="A19" t="inlineStr">
        <is>
          <t>2020-11</t>
        </is>
      </c>
      <c r="B19" t="inlineStr"/>
      <c r="C19" t="n">
        <v>0</v>
      </c>
      <c r="D19" t="inlineStr">
        <is>
          <t>-2.22%</t>
        </is>
      </c>
      <c r="E19" s="4" t="n">
        <v>-0.0222</v>
      </c>
    </row>
    <row r="20">
      <c r="A20" t="inlineStr">
        <is>
          <t>2020-12</t>
        </is>
      </c>
      <c r="B20" t="inlineStr"/>
      <c r="C20" t="n">
        <v>0</v>
      </c>
      <c r="D20" t="inlineStr">
        <is>
          <t>10.42%</t>
        </is>
      </c>
      <c r="E20" s="4" t="n">
        <v>0.1042</v>
      </c>
    </row>
    <row r="21">
      <c r="A21" t="inlineStr">
        <is>
          <t>2021-01</t>
        </is>
      </c>
      <c r="B21" t="inlineStr"/>
      <c r="C21" t="n">
        <v>0</v>
      </c>
      <c r="D21" t="inlineStr">
        <is>
          <t>3.73%</t>
        </is>
      </c>
      <c r="E21" s="4" t="n">
        <v>0.0373</v>
      </c>
    </row>
    <row r="22">
      <c r="A22" t="inlineStr">
        <is>
          <t>2021-02</t>
        </is>
      </c>
      <c r="B22" t="inlineStr"/>
      <c r="C22" t="n">
        <v>0</v>
      </c>
      <c r="D22" t="inlineStr">
        <is>
          <t>-0.71%</t>
        </is>
      </c>
      <c r="E22" s="4" t="n">
        <v>-0.0071</v>
      </c>
    </row>
    <row r="23">
      <c r="A23" t="inlineStr">
        <is>
          <t>2021-03</t>
        </is>
      </c>
      <c r="B23" t="inlineStr"/>
      <c r="C23" t="n">
        <v>0</v>
      </c>
      <c r="D23" t="inlineStr">
        <is>
          <t>2.40%</t>
        </is>
      </c>
      <c r="E23" s="4" t="n">
        <v>0.024</v>
      </c>
    </row>
    <row r="24">
      <c r="A24" t="inlineStr">
        <is>
          <t>2021-04</t>
        </is>
      </c>
      <c r="B24" t="inlineStr"/>
      <c r="C24" t="n">
        <v>0</v>
      </c>
      <c r="D24" t="inlineStr">
        <is>
          <t>3.98%</t>
        </is>
      </c>
      <c r="E24" s="4" t="n">
        <v>0.0398</v>
      </c>
    </row>
    <row r="25">
      <c r="A25" t="inlineStr">
        <is>
          <t>2021-05</t>
        </is>
      </c>
      <c r="B25" t="inlineStr"/>
      <c r="C25" t="n">
        <v>0</v>
      </c>
      <c r="D25" t="inlineStr">
        <is>
          <t>5.17%</t>
        </is>
      </c>
      <c r="E25" s="4" t="n">
        <v>0.0517</v>
      </c>
    </row>
    <row r="26">
      <c r="A26" t="inlineStr">
        <is>
          <t>2021-06</t>
        </is>
      </c>
      <c r="B26" t="inlineStr"/>
      <c r="C26" t="n">
        <v>0</v>
      </c>
      <c r="D26" t="inlineStr">
        <is>
          <t>0.62%</t>
        </is>
      </c>
      <c r="E26" s="4" t="n">
        <v>0.0062</v>
      </c>
    </row>
    <row r="27">
      <c r="A27" t="inlineStr">
        <is>
          <t>2021-07</t>
        </is>
      </c>
      <c r="B27" t="inlineStr"/>
      <c r="C27" t="n">
        <v>0</v>
      </c>
      <c r="D27" t="inlineStr">
        <is>
          <t>2.47%</t>
        </is>
      </c>
      <c r="E27" s="4" t="n">
        <v>0.0247</v>
      </c>
    </row>
    <row r="28">
      <c r="A28" t="inlineStr">
        <is>
          <t>2021-08</t>
        </is>
      </c>
      <c r="B28" t="inlineStr"/>
      <c r="C28" t="n">
        <v>0</v>
      </c>
      <c r="D28" t="inlineStr">
        <is>
          <t>2.27%</t>
        </is>
      </c>
      <c r="E28" s="4" t="n">
        <v>0.0227</v>
      </c>
    </row>
    <row r="29">
      <c r="A29" t="inlineStr">
        <is>
          <t>2021-09</t>
        </is>
      </c>
      <c r="B29" t="inlineStr"/>
      <c r="C29" t="n">
        <v>0</v>
      </c>
      <c r="D29" t="inlineStr">
        <is>
          <t>2.77%</t>
        </is>
      </c>
      <c r="E29" s="4" t="n">
        <v>0.0277</v>
      </c>
    </row>
    <row r="30">
      <c r="A30" t="inlineStr">
        <is>
          <t>2021-10</t>
        </is>
      </c>
      <c r="B30" t="inlineStr"/>
      <c r="C30" t="n">
        <v>0</v>
      </c>
      <c r="D30" t="inlineStr">
        <is>
          <t>-3.93%</t>
        </is>
      </c>
      <c r="E30" s="4" t="n">
        <v>-0.0393</v>
      </c>
    </row>
    <row r="31">
      <c r="A31" t="inlineStr">
        <is>
          <t>2021-11</t>
        </is>
      </c>
      <c r="B31" t="inlineStr"/>
      <c r="C31" t="n">
        <v>0</v>
      </c>
      <c r="D31" t="inlineStr">
        <is>
          <t>6.82%</t>
        </is>
      </c>
      <c r="E31" s="4" t="n">
        <v>0.0682</v>
      </c>
    </row>
    <row r="32">
      <c r="A32" t="inlineStr">
        <is>
          <t>2021-12</t>
        </is>
      </c>
      <c r="B32" t="inlineStr"/>
      <c r="C32" t="n">
        <v>0</v>
      </c>
      <c r="D32" t="inlineStr">
        <is>
          <t>-0.47%</t>
        </is>
      </c>
      <c r="E32" s="4" t="n">
        <v>-0.004699999999999999</v>
      </c>
    </row>
    <row r="33">
      <c r="A33" t="inlineStr">
        <is>
          <t>2022-01</t>
        </is>
      </c>
      <c r="B33" t="inlineStr"/>
      <c r="C33" t="n">
        <v>0</v>
      </c>
      <c r="D33" t="inlineStr">
        <is>
          <t>4.16%</t>
        </is>
      </c>
      <c r="E33" s="4" t="n">
        <v>0.0416</v>
      </c>
    </row>
    <row r="34">
      <c r="A34" t="inlineStr">
        <is>
          <t>2022-02</t>
        </is>
      </c>
      <c r="B34" t="inlineStr"/>
      <c r="C34" t="n">
        <v>0</v>
      </c>
      <c r="D34" t="inlineStr">
        <is>
          <t>-4.81%</t>
        </is>
      </c>
      <c r="E34" s="4" t="n">
        <v>-0.0481</v>
      </c>
    </row>
    <row r="35">
      <c r="A35" t="inlineStr">
        <is>
          <t>2022-03</t>
        </is>
      </c>
      <c r="B35" t="inlineStr"/>
      <c r="C35" t="n">
        <v>0</v>
      </c>
      <c r="D35" t="inlineStr">
        <is>
          <t>-2.66%</t>
        </is>
      </c>
      <c r="E35" s="4" t="n">
        <v>-0.0266</v>
      </c>
    </row>
    <row r="36">
      <c r="A36" t="inlineStr">
        <is>
          <t>2022-04</t>
        </is>
      </c>
      <c r="B36" t="inlineStr"/>
      <c r="C36" t="n">
        <v>0</v>
      </c>
      <c r="D36" t="inlineStr">
        <is>
          <t>3.47%</t>
        </is>
      </c>
      <c r="E36" s="4" t="n">
        <v>0.0347</v>
      </c>
    </row>
    <row r="37">
      <c r="A37" t="inlineStr">
        <is>
          <t>2022-05</t>
        </is>
      </c>
      <c r="B37" t="inlineStr"/>
      <c r="C37" t="n">
        <v>0</v>
      </c>
      <c r="D37" t="inlineStr">
        <is>
          <t>-7.98%</t>
        </is>
      </c>
      <c r="E37" s="4" t="n">
        <v>-0.07980000000000001</v>
      </c>
    </row>
    <row r="38">
      <c r="A38" t="inlineStr">
        <is>
          <t>2022-06</t>
        </is>
      </c>
      <c r="B38" t="inlineStr"/>
      <c r="C38" t="n">
        <v>0</v>
      </c>
      <c r="D38" t="inlineStr">
        <is>
          <t>0.19%</t>
        </is>
      </c>
      <c r="E38" s="4" t="n">
        <v>0.0019</v>
      </c>
    </row>
    <row r="39">
      <c r="A39" t="inlineStr">
        <is>
          <t>2022-07</t>
        </is>
      </c>
      <c r="B39" t="inlineStr"/>
      <c r="C39" t="n">
        <v>0</v>
      </c>
      <c r="D39" t="inlineStr">
        <is>
          <t>-7.73%</t>
        </is>
      </c>
      <c r="E39" s="4" t="n">
        <v>-0.07730000000000001</v>
      </c>
    </row>
    <row r="40">
      <c r="A40" t="inlineStr">
        <is>
          <t>2022-08</t>
        </is>
      </c>
      <c r="B40" t="inlineStr"/>
      <c r="C40" t="n">
        <v>0</v>
      </c>
      <c r="D40" t="inlineStr">
        <is>
          <t>8.83%</t>
        </is>
      </c>
      <c r="E40" s="4" t="n">
        <v>0.0883</v>
      </c>
    </row>
    <row r="41">
      <c r="A41" t="inlineStr">
        <is>
          <t>2022-09</t>
        </is>
      </c>
      <c r="B41" t="inlineStr"/>
      <c r="C41" t="n">
        <v>0</v>
      </c>
      <c r="D41" t="inlineStr">
        <is>
          <t>-3.36%</t>
        </is>
      </c>
      <c r="E41" s="4" t="n">
        <v>-0.0336</v>
      </c>
    </row>
    <row r="42">
      <c r="A42" t="inlineStr">
        <is>
          <t>2022-10</t>
        </is>
      </c>
      <c r="B42" t="inlineStr"/>
      <c r="C42" t="n">
        <v>0</v>
      </c>
      <c r="D42" t="inlineStr">
        <is>
          <t>-8.58%</t>
        </is>
      </c>
      <c r="E42" s="4" t="n">
        <v>-0.0858</v>
      </c>
    </row>
    <row r="43">
      <c r="A43" t="inlineStr">
        <is>
          <t>2022-11</t>
        </is>
      </c>
      <c r="B43" t="inlineStr"/>
      <c r="C43" t="n">
        <v>0</v>
      </c>
      <c r="D43" t="inlineStr">
        <is>
          <t>7.68%</t>
        </is>
      </c>
      <c r="E43" s="4" t="n">
        <v>0.07679999999999999</v>
      </c>
    </row>
    <row r="44">
      <c r="A44" t="inlineStr">
        <is>
          <t>2022-12</t>
        </is>
      </c>
      <c r="B44" t="inlineStr"/>
      <c r="C44" t="n">
        <v>0</v>
      </c>
      <c r="D44" t="inlineStr">
        <is>
          <t>5.58%</t>
        </is>
      </c>
      <c r="E44" s="4" t="n">
        <v>0.0558</v>
      </c>
    </row>
    <row r="45">
      <c r="A45" t="inlineStr">
        <is>
          <t>2023-01</t>
        </is>
      </c>
      <c r="B45" t="inlineStr"/>
      <c r="C45" t="n">
        <v>0</v>
      </c>
      <c r="D45" t="inlineStr">
        <is>
          <t>-5.55%</t>
        </is>
      </c>
      <c r="E45" s="4" t="n">
        <v>-0.0555</v>
      </c>
    </row>
    <row r="46">
      <c r="A46" t="inlineStr">
        <is>
          <t>2023-02</t>
        </is>
      </c>
      <c r="B46" t="inlineStr"/>
      <c r="C46" t="n">
        <v>0</v>
      </c>
      <c r="D46" t="inlineStr">
        <is>
          <t>6.21%</t>
        </is>
      </c>
      <c r="E46" s="4" t="n">
        <v>0.0621</v>
      </c>
    </row>
    <row r="47">
      <c r="A47" t="inlineStr">
        <is>
          <t>2023-03</t>
        </is>
      </c>
      <c r="B47" t="inlineStr"/>
      <c r="C47" t="n">
        <v>0</v>
      </c>
      <c r="D47" t="inlineStr">
        <is>
          <t>-2.57%</t>
        </is>
      </c>
      <c r="E47" s="4" t="n">
        <v>-0.0257</v>
      </c>
    </row>
    <row r="48">
      <c r="A48" t="inlineStr">
        <is>
          <t>2023-04</t>
        </is>
      </c>
      <c r="B48" t="inlineStr"/>
      <c r="C48" t="n">
        <v>0</v>
      </c>
      <c r="D48" t="inlineStr">
        <is>
          <t>3.37%</t>
        </is>
      </c>
      <c r="E48" s="4" t="n">
        <v>0.0337</v>
      </c>
    </row>
    <row r="49">
      <c r="A49" t="inlineStr">
        <is>
          <t>2023-05</t>
        </is>
      </c>
      <c r="B49" t="inlineStr"/>
      <c r="C49" t="n">
        <v>0</v>
      </c>
      <c r="D49" t="inlineStr">
        <is>
          <t>1.73%</t>
        </is>
      </c>
      <c r="E49" s="4" t="n">
        <v>0.0173</v>
      </c>
    </row>
    <row r="50">
      <c r="A50" t="inlineStr">
        <is>
          <t>2023-06</t>
        </is>
      </c>
      <c r="B50" t="inlineStr"/>
      <c r="C50" t="n">
        <v>0</v>
      </c>
      <c r="D50" t="inlineStr">
        <is>
          <t>0.69%</t>
        </is>
      </c>
      <c r="E50" s="4" t="n">
        <v>0.0069</v>
      </c>
    </row>
    <row r="51">
      <c r="A51" t="inlineStr">
        <is>
          <t>2023-07</t>
        </is>
      </c>
      <c r="B51" t="inlineStr"/>
      <c r="C51" t="n">
        <v>0</v>
      </c>
      <c r="D51" t="inlineStr">
        <is>
          <t>6.48%</t>
        </is>
      </c>
      <c r="E51" s="4" t="n">
        <v>0.06480000000000001</v>
      </c>
    </row>
    <row r="52">
      <c r="A52" t="inlineStr">
        <is>
          <t>2023-08</t>
        </is>
      </c>
      <c r="B52" t="inlineStr"/>
      <c r="C52" t="n">
        <v>0</v>
      </c>
      <c r="D52" t="inlineStr">
        <is>
          <t>3.23%</t>
        </is>
      </c>
      <c r="E52" s="4" t="n">
        <v>0.0323</v>
      </c>
    </row>
    <row r="53">
      <c r="A53" t="inlineStr">
        <is>
          <t>2023-09</t>
        </is>
      </c>
      <c r="B53" t="inlineStr"/>
      <c r="C53" t="n">
        <v>0</v>
      </c>
      <c r="D53" t="inlineStr">
        <is>
          <t>-1.44%</t>
        </is>
      </c>
      <c r="E53" s="4" t="n">
        <v>-0.0144</v>
      </c>
    </row>
    <row r="54">
      <c r="A54" t="inlineStr">
        <is>
          <t>2023-10</t>
        </is>
      </c>
      <c r="B54" t="inlineStr"/>
      <c r="C54" t="n">
        <v>0</v>
      </c>
      <c r="D54" t="inlineStr">
        <is>
          <t>-4.62%</t>
        </is>
      </c>
      <c r="E54" s="4" t="n">
        <v>-0.0462</v>
      </c>
    </row>
    <row r="55">
      <c r="A55" t="inlineStr">
        <is>
          <t>2023-11</t>
        </is>
      </c>
      <c r="B55" t="inlineStr"/>
      <c r="C55" t="n">
        <v>0</v>
      </c>
      <c r="D55" t="inlineStr">
        <is>
          <t>-1.93%</t>
        </is>
      </c>
      <c r="E55" s="4" t="n">
        <v>-0.0193</v>
      </c>
    </row>
    <row r="56">
      <c r="A56" t="inlineStr">
        <is>
          <t>2023-12</t>
        </is>
      </c>
      <c r="B56" t="inlineStr"/>
      <c r="C56" t="n">
        <v>0</v>
      </c>
      <c r="D56" t="inlineStr">
        <is>
          <t>8.68%</t>
        </is>
      </c>
      <c r="E56" s="4" t="n">
        <v>0.0868</v>
      </c>
    </row>
    <row r="57">
      <c r="A57" t="inlineStr">
        <is>
          <t>2024-01</t>
        </is>
      </c>
      <c r="B57" t="inlineStr"/>
      <c r="C57" t="n">
        <v>0</v>
      </c>
      <c r="D57" t="inlineStr">
        <is>
          <t>4.71%</t>
        </is>
      </c>
      <c r="E57" s="4" t="n">
        <v>0.0471</v>
      </c>
    </row>
    <row r="58">
      <c r="A58" t="inlineStr">
        <is>
          <t>2024-02</t>
        </is>
      </c>
      <c r="B58" t="inlineStr"/>
      <c r="C58" t="n">
        <v>0</v>
      </c>
      <c r="D58" t="inlineStr">
        <is>
          <t>1.88%</t>
        </is>
      </c>
      <c r="E58" s="4" t="n">
        <v>0.0188</v>
      </c>
    </row>
    <row r="59">
      <c r="A59" t="inlineStr">
        <is>
          <t>2024-03</t>
        </is>
      </c>
      <c r="B59" t="inlineStr"/>
      <c r="C59" t="n">
        <v>0</v>
      </c>
      <c r="D59" t="inlineStr">
        <is>
          <t>4.86%</t>
        </is>
      </c>
      <c r="E59" s="4" t="n">
        <v>0.0486</v>
      </c>
    </row>
    <row r="60">
      <c r="A60" t="inlineStr">
        <is>
          <t>2024-04</t>
        </is>
      </c>
      <c r="B60" t="inlineStr"/>
      <c r="C60" t="n">
        <v>0</v>
      </c>
      <c r="D60" t="inlineStr">
        <is>
          <t>3.31%</t>
        </is>
      </c>
      <c r="E60" s="4" t="n">
        <v>0.0331</v>
      </c>
    </row>
    <row r="61">
      <c r="A61" t="inlineStr">
        <is>
          <t>2024-05</t>
        </is>
      </c>
      <c r="B61" t="inlineStr"/>
      <c r="C61" t="n">
        <v>0</v>
      </c>
      <c r="D61" t="inlineStr">
        <is>
          <t>-3.73%</t>
        </is>
      </c>
      <c r="E61" s="4" t="n">
        <v>-0.0373</v>
      </c>
    </row>
    <row r="62">
      <c r="A62" t="inlineStr">
        <is>
          <t>2024-06</t>
        </is>
      </c>
      <c r="B62" t="inlineStr"/>
      <c r="C62" t="n">
        <v>0</v>
      </c>
      <c r="D62" t="inlineStr">
        <is>
          <t>4.72%</t>
        </is>
      </c>
      <c r="E62" s="4" t="n">
        <v>0.0472</v>
      </c>
    </row>
    <row r="63">
      <c r="A63" t="inlineStr">
        <is>
          <t>2024-07</t>
        </is>
      </c>
      <c r="B63" t="inlineStr"/>
      <c r="C63" t="n">
        <v>0</v>
      </c>
      <c r="D63" t="inlineStr">
        <is>
          <t>3.72%</t>
        </is>
      </c>
      <c r="E63" s="4" t="n">
        <v>0.0372</v>
      </c>
    </row>
    <row r="64">
      <c r="A64" t="inlineStr">
        <is>
          <t>2024-08</t>
        </is>
      </c>
      <c r="B64" t="inlineStr"/>
      <c r="C64" t="n">
        <v>0</v>
      </c>
      <c r="D64" t="inlineStr">
        <is>
          <t>1.58%</t>
        </is>
      </c>
      <c r="E64" s="4" t="n">
        <v>0.0158</v>
      </c>
    </row>
    <row r="65">
      <c r="A65" t="inlineStr">
        <is>
          <t>2024-09</t>
        </is>
      </c>
      <c r="B65" t="inlineStr"/>
      <c r="C65" t="n">
        <v>0</v>
      </c>
      <c r="D65" t="inlineStr">
        <is>
          <t>2.65%</t>
        </is>
      </c>
      <c r="E65" s="4" t="n">
        <v>0.0265</v>
      </c>
    </row>
    <row r="66">
      <c r="A66" t="inlineStr">
        <is>
          <t>2024-10</t>
        </is>
      </c>
      <c r="B66" t="inlineStr"/>
      <c r="C66" t="n">
        <v>0</v>
      </c>
      <c r="D66" t="inlineStr">
        <is>
          <t>2.05%</t>
        </is>
      </c>
      <c r="E66" s="4" t="n">
        <v>0.0205</v>
      </c>
    </row>
    <row r="67">
      <c r="A67" t="inlineStr">
        <is>
          <t>2024-11</t>
        </is>
      </c>
      <c r="B67" t="inlineStr"/>
      <c r="C67" t="n">
        <v>0</v>
      </c>
      <c r="D67" t="inlineStr">
        <is>
          <t>-0.70%</t>
        </is>
      </c>
      <c r="E67" s="4" t="n">
        <v>-0.006999999999999999</v>
      </c>
    </row>
    <row r="68">
      <c r="A68" t="inlineStr">
        <is>
          <t>2024-12</t>
        </is>
      </c>
      <c r="B68" t="inlineStr"/>
      <c r="C68" t="n">
        <v>0</v>
      </c>
      <c r="D68" t="inlineStr">
        <is>
          <t>5.81%</t>
        </is>
      </c>
      <c r="E68" s="4" t="n">
        <v>0.0581</v>
      </c>
    </row>
    <row r="69">
      <c r="A69" t="inlineStr">
        <is>
          <t>2024-12</t>
        </is>
      </c>
      <c r="B69" t="inlineStr"/>
      <c r="C69" t="n">
        <v>0</v>
      </c>
      <c r="D69" t="inlineStr">
        <is>
          <t>-1.88%</t>
        </is>
      </c>
      <c r="E69" s="4" t="n">
        <v>-0.0188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selection activeCell="A1" sqref="A1"/>
    </sheetView>
  </sheetViews>
  <sheetFormatPr baseColWidth="8" defaultRowHeight="15"/>
  <cols>
    <col width="48" customWidth="1" min="1" max="1"/>
    <col width="57" customWidth="1" min="2" max="2"/>
    <col width="26" customWidth="1" min="3" max="3"/>
    <col width="20" customWidth="1" min="4" max="4"/>
    <col width="19" customWidth="1" min="5" max="5"/>
    <col width="22" customWidth="1" min="6" max="6"/>
    <col width="2" customWidth="1" min="7" max="7"/>
    <col width="2" customWidth="1" min="8" max="8"/>
    <col width="2" customWidth="1" min="9" max="9"/>
    <col width="2" customWidth="1" min="10" max="10"/>
  </cols>
  <sheetData>
    <row r="1">
      <c r="A1" s="1" t="inlineStr">
        <is>
          <t>═══ TIME-WEIGHTED RETURN (TWR) CALCULATION ═══</t>
        </is>
      </c>
    </row>
    <row r="2"/>
    <row r="3">
      <c r="A3" s="5" t="inlineStr">
        <is>
          <t>FORMULA:</t>
        </is>
      </c>
      <c r="B3" s="6" t="inlineStr">
        <is>
          <t>TWR = [(1+r₁) × (1+r₂) × ... × (1+rₙ)] - 1</t>
        </is>
      </c>
    </row>
    <row r="4">
      <c r="A4" t="inlineStr">
        <is>
          <t>GIPS STANDARD:</t>
        </is>
      </c>
      <c r="B4" t="inlineStr">
        <is>
          <t>GIPS 2020 Section 2.A.32 - Time-Weighted Rate of Return</t>
        </is>
      </c>
    </row>
    <row r="5"/>
    <row r="6">
      <c r="A6" s="5" t="inlineStr">
        <is>
          <t>STEP-BY-STEP MONTHLY COMPOUNDING</t>
        </is>
      </c>
    </row>
    <row r="7">
      <c r="A7" s="3" t="inlineStr">
        <is>
          <t>Month</t>
        </is>
      </c>
      <c r="B7" s="3" t="inlineStr">
        <is>
          <t>Monthly Return (r)</t>
        </is>
      </c>
      <c r="C7" s="3" t="inlineStr">
        <is>
          <t>1 + r</t>
        </is>
      </c>
      <c r="D7" s="3" t="inlineStr">
        <is>
          <t>Cumulative Product</t>
        </is>
      </c>
      <c r="E7" s="3" t="inlineStr">
        <is>
          <t>Cumulative Return</t>
        </is>
      </c>
      <c r="F7" s="3" t="inlineStr">
        <is>
          <t>Formula Used</t>
        </is>
      </c>
    </row>
    <row r="8">
      <c r="A8" t="inlineStr">
        <is>
          <t>Month 1</t>
        </is>
      </c>
      <c r="B8" s="7" t="n">
        <v>0</v>
      </c>
      <c r="C8" s="6">
        <f>1+B8</f>
        <v/>
      </c>
      <c r="D8" s="6">
        <f>C8</f>
        <v/>
      </c>
      <c r="E8" s="8">
        <f>D8-1</f>
        <v/>
      </c>
      <c r="F8" s="9" t="inlineStr">
        <is>
          <t>(1+r₁)×...×(1+r1)-1</t>
        </is>
      </c>
    </row>
    <row r="9">
      <c r="A9" t="inlineStr">
        <is>
          <t>Month 2</t>
        </is>
      </c>
      <c r="B9" s="7" t="n">
        <v>0.0025</v>
      </c>
      <c r="C9" s="6">
        <f>1+B9</f>
        <v/>
      </c>
      <c r="D9" s="6">
        <f>D8*C9</f>
        <v/>
      </c>
      <c r="E9" s="8">
        <f>D9-1</f>
        <v/>
      </c>
      <c r="F9" s="9" t="inlineStr">
        <is>
          <t>(1+r₁)×...×(1+r2)-1</t>
        </is>
      </c>
    </row>
    <row r="10">
      <c r="A10" t="inlineStr">
        <is>
          <t>Month 3</t>
        </is>
      </c>
      <c r="B10" s="7" t="n">
        <v>-0.07719999999999999</v>
      </c>
      <c r="C10" s="6">
        <f>1+B10</f>
        <v/>
      </c>
      <c r="D10" s="6">
        <f>D9*C10</f>
        <v/>
      </c>
      <c r="E10" s="8">
        <f>D10-1</f>
        <v/>
      </c>
      <c r="F10" s="9" t="inlineStr">
        <is>
          <t>(1+r₁)×...×(1+r3)-1</t>
        </is>
      </c>
    </row>
    <row r="11">
      <c r="A11" t="inlineStr">
        <is>
          <t>Month 4</t>
        </is>
      </c>
      <c r="B11" s="7" t="n">
        <v>-0.1145</v>
      </c>
      <c r="C11" s="6">
        <f>1+B11</f>
        <v/>
      </c>
      <c r="D11" s="6">
        <f>D10*C11</f>
        <v/>
      </c>
      <c r="E11" s="8">
        <f>D11-1</f>
        <v/>
      </c>
      <c r="F11" s="9" t="inlineStr">
        <is>
          <t>(1+r₁)×...×(1+r4)-1</t>
        </is>
      </c>
    </row>
    <row r="12">
      <c r="A12" t="inlineStr">
        <is>
          <t>Month 5</t>
        </is>
      </c>
      <c r="B12" s="7" t="n">
        <v>0.1265</v>
      </c>
      <c r="C12" s="6">
        <f>1+B12</f>
        <v/>
      </c>
      <c r="D12" s="6">
        <f>D11*C12</f>
        <v/>
      </c>
      <c r="E12" s="8">
        <f>D12-1</f>
        <v/>
      </c>
      <c r="F12" s="9" t="inlineStr">
        <is>
          <t>(1+r₁)×...×(1+r5)-1</t>
        </is>
      </c>
    </row>
    <row r="13">
      <c r="A13" t="inlineStr">
        <is>
          <t>Month 6</t>
        </is>
      </c>
      <c r="B13" s="7" t="n">
        <v>0.04559999999999999</v>
      </c>
      <c r="C13" s="6">
        <f>1+B13</f>
        <v/>
      </c>
      <c r="D13" s="6">
        <f>D12*C13</f>
        <v/>
      </c>
      <c r="E13" s="8">
        <f>D13-1</f>
        <v/>
      </c>
      <c r="F13" s="9" t="inlineStr">
        <is>
          <t>(1+r₁)×...×(1+r6)-1</t>
        </is>
      </c>
    </row>
    <row r="14">
      <c r="A14" t="inlineStr">
        <is>
          <t>Month 7</t>
        </is>
      </c>
      <c r="B14" s="7" t="n">
        <v>0.02</v>
      </c>
      <c r="C14" s="6">
        <f>1+B14</f>
        <v/>
      </c>
      <c r="D14" s="6">
        <f>D13*C14</f>
        <v/>
      </c>
      <c r="E14" s="8">
        <f>D14-1</f>
        <v/>
      </c>
      <c r="F14" s="9" t="inlineStr">
        <is>
          <t>(1+r₁)×...×(1+r7)-1</t>
        </is>
      </c>
    </row>
    <row r="15">
      <c r="A15" t="inlineStr">
        <is>
          <t>Month 8</t>
        </is>
      </c>
      <c r="B15" s="7" t="n">
        <v>0.0585</v>
      </c>
      <c r="C15" s="6">
        <f>1+B15</f>
        <v/>
      </c>
      <c r="D15" s="6">
        <f>D14*C15</f>
        <v/>
      </c>
      <c r="E15" s="8">
        <f>D15-1</f>
        <v/>
      </c>
      <c r="F15" s="9" t="inlineStr">
        <is>
          <t>(1+r₁)×...×(1+r8)-1</t>
        </is>
      </c>
    </row>
    <row r="16">
      <c r="A16" t="inlineStr">
        <is>
          <t>Month 9</t>
        </is>
      </c>
      <c r="B16" s="7" t="n">
        <v>0.0711</v>
      </c>
      <c r="C16" s="6">
        <f>1+B16</f>
        <v/>
      </c>
      <c r="D16" s="6">
        <f>D15*C16</f>
        <v/>
      </c>
      <c r="E16" s="8">
        <f>D16-1</f>
        <v/>
      </c>
      <c r="F16" s="9" t="inlineStr">
        <is>
          <t>(1+r₁)×...×(1+r9)-1</t>
        </is>
      </c>
    </row>
    <row r="17">
      <c r="A17" t="inlineStr">
        <is>
          <t>Month 10</t>
        </is>
      </c>
      <c r="B17" s="7" t="n">
        <v>-0.0352</v>
      </c>
      <c r="C17" s="6">
        <f>1+B17</f>
        <v/>
      </c>
      <c r="D17" s="6">
        <f>D16*C17</f>
        <v/>
      </c>
      <c r="E17" s="8">
        <f>D17-1</f>
        <v/>
      </c>
      <c r="F17" s="9" t="inlineStr">
        <is>
          <t>(1+r₁)×...×(1+r10)-1</t>
        </is>
      </c>
    </row>
    <row r="18">
      <c r="A18" t="inlineStr">
        <is>
          <t>Month 11</t>
        </is>
      </c>
      <c r="B18" s="7" t="n">
        <v>-0.0222</v>
      </c>
      <c r="C18" s="6">
        <f>1+B18</f>
        <v/>
      </c>
      <c r="D18" s="6">
        <f>D17*C18</f>
        <v/>
      </c>
      <c r="E18" s="8">
        <f>D18-1</f>
        <v/>
      </c>
      <c r="F18" s="9" t="inlineStr">
        <is>
          <t>(1+r₁)×...×(1+r11)-1</t>
        </is>
      </c>
    </row>
    <row r="19">
      <c r="A19" t="inlineStr">
        <is>
          <t>Month 12</t>
        </is>
      </c>
      <c r="B19" s="7" t="n">
        <v>0.1042</v>
      </c>
      <c r="C19" s="6">
        <f>1+B19</f>
        <v/>
      </c>
      <c r="D19" s="6">
        <f>D18*C19</f>
        <v/>
      </c>
      <c r="E19" s="8">
        <f>D19-1</f>
        <v/>
      </c>
      <c r="F19" s="9" t="inlineStr">
        <is>
          <t>(1+r₁)×...×(1+r12)-1</t>
        </is>
      </c>
    </row>
    <row r="20">
      <c r="A20" t="inlineStr">
        <is>
          <t>Month 13</t>
        </is>
      </c>
      <c r="B20" s="7" t="n">
        <v>0.0373</v>
      </c>
      <c r="C20" s="6">
        <f>1+B20</f>
        <v/>
      </c>
      <c r="D20" s="6">
        <f>D19*C20</f>
        <v/>
      </c>
      <c r="E20" s="8">
        <f>D20-1</f>
        <v/>
      </c>
      <c r="F20" s="9" t="inlineStr">
        <is>
          <t>(1+r₁)×...×(1+r13)-1</t>
        </is>
      </c>
    </row>
    <row r="21">
      <c r="A21" t="inlineStr">
        <is>
          <t>Month 14</t>
        </is>
      </c>
      <c r="B21" s="7" t="n">
        <v>-0.0071</v>
      </c>
      <c r="C21" s="6">
        <f>1+B21</f>
        <v/>
      </c>
      <c r="D21" s="6">
        <f>D20*C21</f>
        <v/>
      </c>
      <c r="E21" s="8">
        <f>D21-1</f>
        <v/>
      </c>
      <c r="F21" s="9" t="inlineStr">
        <is>
          <t>(1+r₁)×...×(1+r14)-1</t>
        </is>
      </c>
    </row>
    <row r="22">
      <c r="A22" t="inlineStr">
        <is>
          <t>Month 15</t>
        </is>
      </c>
      <c r="B22" s="7" t="n">
        <v>0.024</v>
      </c>
      <c r="C22" s="6">
        <f>1+B22</f>
        <v/>
      </c>
      <c r="D22" s="6">
        <f>D21*C22</f>
        <v/>
      </c>
      <c r="E22" s="8">
        <f>D22-1</f>
        <v/>
      </c>
      <c r="F22" s="9" t="inlineStr">
        <is>
          <t>(1+r₁)×...×(1+r15)-1</t>
        </is>
      </c>
    </row>
    <row r="23">
      <c r="A23" t="inlineStr">
        <is>
          <t>Month 16</t>
        </is>
      </c>
      <c r="B23" s="7" t="n">
        <v>0.0398</v>
      </c>
      <c r="C23" s="6">
        <f>1+B23</f>
        <v/>
      </c>
      <c r="D23" s="6">
        <f>D22*C23</f>
        <v/>
      </c>
      <c r="E23" s="8">
        <f>D23-1</f>
        <v/>
      </c>
      <c r="F23" s="9" t="inlineStr">
        <is>
          <t>(1+r₁)×...×(1+r16)-1</t>
        </is>
      </c>
    </row>
    <row r="24">
      <c r="A24" t="inlineStr">
        <is>
          <t>Month 17</t>
        </is>
      </c>
      <c r="B24" s="7" t="n">
        <v>0.0517</v>
      </c>
      <c r="C24" s="6">
        <f>1+B24</f>
        <v/>
      </c>
      <c r="D24" s="6">
        <f>D23*C24</f>
        <v/>
      </c>
      <c r="E24" s="8">
        <f>D24-1</f>
        <v/>
      </c>
      <c r="F24" s="9" t="inlineStr">
        <is>
          <t>(1+r₁)×...×(1+r17)-1</t>
        </is>
      </c>
    </row>
    <row r="25">
      <c r="A25" t="inlineStr">
        <is>
          <t>Month 18</t>
        </is>
      </c>
      <c r="B25" s="7" t="n">
        <v>0.0062</v>
      </c>
      <c r="C25" s="6">
        <f>1+B25</f>
        <v/>
      </c>
      <c r="D25" s="6">
        <f>D24*C25</f>
        <v/>
      </c>
      <c r="E25" s="8">
        <f>D25-1</f>
        <v/>
      </c>
      <c r="F25" s="9" t="inlineStr">
        <is>
          <t>(1+r₁)×...×(1+r18)-1</t>
        </is>
      </c>
    </row>
    <row r="26">
      <c r="A26" t="inlineStr">
        <is>
          <t>Month 19</t>
        </is>
      </c>
      <c r="B26" s="7" t="n">
        <v>0.0247</v>
      </c>
      <c r="C26" s="6">
        <f>1+B26</f>
        <v/>
      </c>
      <c r="D26" s="6">
        <f>D25*C26</f>
        <v/>
      </c>
      <c r="E26" s="8">
        <f>D26-1</f>
        <v/>
      </c>
      <c r="F26" s="9" t="inlineStr">
        <is>
          <t>(1+r₁)×...×(1+r19)-1</t>
        </is>
      </c>
    </row>
    <row r="27">
      <c r="A27" t="inlineStr">
        <is>
          <t>Month 20</t>
        </is>
      </c>
      <c r="B27" s="7" t="n">
        <v>0.0227</v>
      </c>
      <c r="C27" s="6">
        <f>1+B27</f>
        <v/>
      </c>
      <c r="D27" s="6">
        <f>D26*C27</f>
        <v/>
      </c>
      <c r="E27" s="8">
        <f>D27-1</f>
        <v/>
      </c>
      <c r="F27" s="9" t="inlineStr">
        <is>
          <t>(1+r₁)×...×(1+r20)-1</t>
        </is>
      </c>
    </row>
    <row r="28">
      <c r="A28" t="inlineStr">
        <is>
          <t>Month 21</t>
        </is>
      </c>
      <c r="B28" s="7" t="n">
        <v>0.0277</v>
      </c>
      <c r="C28" s="6">
        <f>1+B28</f>
        <v/>
      </c>
      <c r="D28" s="6">
        <f>D27*C28</f>
        <v/>
      </c>
      <c r="E28" s="8">
        <f>D28-1</f>
        <v/>
      </c>
      <c r="F28" s="9" t="inlineStr">
        <is>
          <t>(1+r₁)×...×(1+r21)-1</t>
        </is>
      </c>
    </row>
    <row r="29">
      <c r="A29" t="inlineStr">
        <is>
          <t>Month 22</t>
        </is>
      </c>
      <c r="B29" s="7" t="n">
        <v>-0.0393</v>
      </c>
      <c r="C29" s="6">
        <f>1+B29</f>
        <v/>
      </c>
      <c r="D29" s="6">
        <f>D28*C29</f>
        <v/>
      </c>
      <c r="E29" s="8">
        <f>D29-1</f>
        <v/>
      </c>
      <c r="F29" s="9" t="inlineStr">
        <is>
          <t>(1+r₁)×...×(1+r22)-1</t>
        </is>
      </c>
    </row>
    <row r="30">
      <c r="A30" t="inlineStr">
        <is>
          <t>Month 23</t>
        </is>
      </c>
      <c r="B30" s="7" t="n">
        <v>0.0682</v>
      </c>
      <c r="C30" s="6">
        <f>1+B30</f>
        <v/>
      </c>
      <c r="D30" s="6">
        <f>D29*C30</f>
        <v/>
      </c>
      <c r="E30" s="8">
        <f>D30-1</f>
        <v/>
      </c>
      <c r="F30" s="9" t="inlineStr">
        <is>
          <t>(1+r₁)×...×(1+r23)-1</t>
        </is>
      </c>
    </row>
    <row r="31">
      <c r="A31" t="inlineStr">
        <is>
          <t>Month 24</t>
        </is>
      </c>
      <c r="B31" s="7" t="n">
        <v>-0.004699999999999999</v>
      </c>
      <c r="C31" s="6">
        <f>1+B31</f>
        <v/>
      </c>
      <c r="D31" s="6">
        <f>D30*C31</f>
        <v/>
      </c>
      <c r="E31" s="8">
        <f>D31-1</f>
        <v/>
      </c>
      <c r="F31" s="9" t="inlineStr">
        <is>
          <t>(1+r₁)×...×(1+r24)-1</t>
        </is>
      </c>
    </row>
    <row r="32">
      <c r="A32" t="inlineStr">
        <is>
          <t>Month 25</t>
        </is>
      </c>
      <c r="B32" s="7" t="n">
        <v>0.0416</v>
      </c>
      <c r="C32" s="6">
        <f>1+B32</f>
        <v/>
      </c>
      <c r="D32" s="6">
        <f>D31*C32</f>
        <v/>
      </c>
      <c r="E32" s="8">
        <f>D32-1</f>
        <v/>
      </c>
      <c r="F32" s="9" t="inlineStr">
        <is>
          <t>(1+r₁)×...×(1+r25)-1</t>
        </is>
      </c>
    </row>
    <row r="33">
      <c r="A33" t="inlineStr">
        <is>
          <t>Month 26</t>
        </is>
      </c>
      <c r="B33" s="7" t="n">
        <v>-0.0481</v>
      </c>
      <c r="C33" s="6">
        <f>1+B33</f>
        <v/>
      </c>
      <c r="D33" s="6">
        <f>D32*C33</f>
        <v/>
      </c>
      <c r="E33" s="8">
        <f>D33-1</f>
        <v/>
      </c>
      <c r="F33" s="9" t="inlineStr">
        <is>
          <t>(1+r₁)×...×(1+r26)-1</t>
        </is>
      </c>
    </row>
    <row r="34">
      <c r="A34" t="inlineStr">
        <is>
          <t>Month 27</t>
        </is>
      </c>
      <c r="B34" s="7" t="n">
        <v>-0.0266</v>
      </c>
      <c r="C34" s="6">
        <f>1+B34</f>
        <v/>
      </c>
      <c r="D34" s="6">
        <f>D33*C34</f>
        <v/>
      </c>
      <c r="E34" s="8">
        <f>D34-1</f>
        <v/>
      </c>
      <c r="F34" s="9" t="inlineStr">
        <is>
          <t>(1+r₁)×...×(1+r27)-1</t>
        </is>
      </c>
    </row>
    <row r="35">
      <c r="A35" t="inlineStr">
        <is>
          <t>Month 28</t>
        </is>
      </c>
      <c r="B35" s="7" t="n">
        <v>0.0347</v>
      </c>
      <c r="C35" s="6">
        <f>1+B35</f>
        <v/>
      </c>
      <c r="D35" s="6">
        <f>D34*C35</f>
        <v/>
      </c>
      <c r="E35" s="8">
        <f>D35-1</f>
        <v/>
      </c>
      <c r="F35" s="9" t="inlineStr">
        <is>
          <t>(1+r₁)×...×(1+r28)-1</t>
        </is>
      </c>
    </row>
    <row r="36">
      <c r="A36" t="inlineStr">
        <is>
          <t>Month 29</t>
        </is>
      </c>
      <c r="B36" s="7" t="n">
        <v>-0.07980000000000001</v>
      </c>
      <c r="C36" s="6">
        <f>1+B36</f>
        <v/>
      </c>
      <c r="D36" s="6">
        <f>D35*C36</f>
        <v/>
      </c>
      <c r="E36" s="8">
        <f>D36-1</f>
        <v/>
      </c>
      <c r="F36" s="9" t="inlineStr">
        <is>
          <t>(1+r₁)×...×(1+r29)-1</t>
        </is>
      </c>
    </row>
    <row r="37">
      <c r="A37" t="inlineStr">
        <is>
          <t>Month 30</t>
        </is>
      </c>
      <c r="B37" s="7" t="n">
        <v>0.0019</v>
      </c>
      <c r="C37" s="6">
        <f>1+B37</f>
        <v/>
      </c>
      <c r="D37" s="6">
        <f>D36*C37</f>
        <v/>
      </c>
      <c r="E37" s="8">
        <f>D37-1</f>
        <v/>
      </c>
      <c r="F37" s="9" t="inlineStr">
        <is>
          <t>(1+r₁)×...×(1+r30)-1</t>
        </is>
      </c>
    </row>
    <row r="38">
      <c r="A38" t="inlineStr">
        <is>
          <t>Month 31</t>
        </is>
      </c>
      <c r="B38" s="7" t="n">
        <v>-0.07730000000000001</v>
      </c>
      <c r="C38" s="6">
        <f>1+B38</f>
        <v/>
      </c>
      <c r="D38" s="6">
        <f>D37*C38</f>
        <v/>
      </c>
      <c r="E38" s="8">
        <f>D38-1</f>
        <v/>
      </c>
      <c r="F38" s="9" t="inlineStr">
        <is>
          <t>(1+r₁)×...×(1+r31)-1</t>
        </is>
      </c>
    </row>
    <row r="39">
      <c r="A39" t="inlineStr">
        <is>
          <t>Month 32</t>
        </is>
      </c>
      <c r="B39" s="7" t="n">
        <v>0.0883</v>
      </c>
      <c r="C39" s="6">
        <f>1+B39</f>
        <v/>
      </c>
      <c r="D39" s="6">
        <f>D38*C39</f>
        <v/>
      </c>
      <c r="E39" s="8">
        <f>D39-1</f>
        <v/>
      </c>
      <c r="F39" s="9" t="inlineStr">
        <is>
          <t>(1+r₁)×...×(1+r32)-1</t>
        </is>
      </c>
    </row>
    <row r="40">
      <c r="A40" t="inlineStr">
        <is>
          <t>Month 33</t>
        </is>
      </c>
      <c r="B40" s="7" t="n">
        <v>-0.0336</v>
      </c>
      <c r="C40" s="6">
        <f>1+B40</f>
        <v/>
      </c>
      <c r="D40" s="6">
        <f>D39*C40</f>
        <v/>
      </c>
      <c r="E40" s="8">
        <f>D40-1</f>
        <v/>
      </c>
      <c r="F40" s="9" t="inlineStr">
        <is>
          <t>(1+r₁)×...×(1+r33)-1</t>
        </is>
      </c>
    </row>
    <row r="41">
      <c r="A41" t="inlineStr">
        <is>
          <t>Month 34</t>
        </is>
      </c>
      <c r="B41" s="7" t="n">
        <v>-0.0858</v>
      </c>
      <c r="C41" s="6">
        <f>1+B41</f>
        <v/>
      </c>
      <c r="D41" s="6">
        <f>D40*C41</f>
        <v/>
      </c>
      <c r="E41" s="8">
        <f>D41-1</f>
        <v/>
      </c>
      <c r="F41" s="9" t="inlineStr">
        <is>
          <t>(1+r₁)×...×(1+r34)-1</t>
        </is>
      </c>
    </row>
    <row r="42">
      <c r="A42" t="inlineStr">
        <is>
          <t>Month 35</t>
        </is>
      </c>
      <c r="B42" s="7" t="n">
        <v>0.07679999999999999</v>
      </c>
      <c r="C42" s="6">
        <f>1+B42</f>
        <v/>
      </c>
      <c r="D42" s="6">
        <f>D41*C42</f>
        <v/>
      </c>
      <c r="E42" s="8">
        <f>D42-1</f>
        <v/>
      </c>
      <c r="F42" s="9" t="inlineStr">
        <is>
          <t>(1+r₁)×...×(1+r35)-1</t>
        </is>
      </c>
    </row>
    <row r="43">
      <c r="A43" t="inlineStr">
        <is>
          <t>Month 36</t>
        </is>
      </c>
      <c r="B43" s="7" t="n">
        <v>0.0558</v>
      </c>
      <c r="C43" s="6">
        <f>1+B43</f>
        <v/>
      </c>
      <c r="D43" s="6">
        <f>D42*C43</f>
        <v/>
      </c>
      <c r="E43" s="8">
        <f>D43-1</f>
        <v/>
      </c>
      <c r="F43" s="9" t="inlineStr">
        <is>
          <t>(1+r₁)×...×(1+r36)-1</t>
        </is>
      </c>
    </row>
    <row r="44">
      <c r="A44" t="inlineStr">
        <is>
          <t>Month 37</t>
        </is>
      </c>
      <c r="B44" s="7" t="n">
        <v>-0.0555</v>
      </c>
      <c r="C44" s="6">
        <f>1+B44</f>
        <v/>
      </c>
      <c r="D44" s="6">
        <f>D43*C44</f>
        <v/>
      </c>
      <c r="E44" s="8">
        <f>D44-1</f>
        <v/>
      </c>
      <c r="F44" s="9" t="inlineStr">
        <is>
          <t>(1+r₁)×...×(1+r37)-1</t>
        </is>
      </c>
    </row>
    <row r="45">
      <c r="A45" t="inlineStr">
        <is>
          <t>Month 38</t>
        </is>
      </c>
      <c r="B45" s="7" t="n">
        <v>0.0621</v>
      </c>
      <c r="C45" s="6">
        <f>1+B45</f>
        <v/>
      </c>
      <c r="D45" s="6">
        <f>D44*C45</f>
        <v/>
      </c>
      <c r="E45" s="8">
        <f>D45-1</f>
        <v/>
      </c>
      <c r="F45" s="9" t="inlineStr">
        <is>
          <t>(1+r₁)×...×(1+r38)-1</t>
        </is>
      </c>
    </row>
    <row r="46">
      <c r="A46" t="inlineStr">
        <is>
          <t>Month 39</t>
        </is>
      </c>
      <c r="B46" s="7" t="n">
        <v>-0.0257</v>
      </c>
      <c r="C46" s="6">
        <f>1+B46</f>
        <v/>
      </c>
      <c r="D46" s="6">
        <f>D45*C46</f>
        <v/>
      </c>
      <c r="E46" s="8">
        <f>D46-1</f>
        <v/>
      </c>
      <c r="F46" s="9" t="inlineStr">
        <is>
          <t>(1+r₁)×...×(1+r39)-1</t>
        </is>
      </c>
    </row>
    <row r="47">
      <c r="A47" t="inlineStr">
        <is>
          <t>Month 40</t>
        </is>
      </c>
      <c r="B47" s="7" t="n">
        <v>0.0337</v>
      </c>
      <c r="C47" s="6">
        <f>1+B47</f>
        <v/>
      </c>
      <c r="D47" s="6">
        <f>D46*C47</f>
        <v/>
      </c>
      <c r="E47" s="8">
        <f>D47-1</f>
        <v/>
      </c>
      <c r="F47" s="9" t="inlineStr">
        <is>
          <t>(1+r₁)×...×(1+r40)-1</t>
        </is>
      </c>
    </row>
    <row r="48">
      <c r="A48" t="inlineStr">
        <is>
          <t>Month 41</t>
        </is>
      </c>
      <c r="B48" s="7" t="n">
        <v>0.0173</v>
      </c>
      <c r="C48" s="6">
        <f>1+B48</f>
        <v/>
      </c>
      <c r="D48" s="6">
        <f>D47*C48</f>
        <v/>
      </c>
      <c r="E48" s="8">
        <f>D48-1</f>
        <v/>
      </c>
      <c r="F48" s="9" t="inlineStr">
        <is>
          <t>(1+r₁)×...×(1+r41)-1</t>
        </is>
      </c>
    </row>
    <row r="49">
      <c r="A49" t="inlineStr">
        <is>
          <t>Month 42</t>
        </is>
      </c>
      <c r="B49" s="7" t="n">
        <v>0.0069</v>
      </c>
      <c r="C49" s="6">
        <f>1+B49</f>
        <v/>
      </c>
      <c r="D49" s="6">
        <f>D48*C49</f>
        <v/>
      </c>
      <c r="E49" s="8">
        <f>D49-1</f>
        <v/>
      </c>
      <c r="F49" s="9" t="inlineStr">
        <is>
          <t>(1+r₁)×...×(1+r42)-1</t>
        </is>
      </c>
    </row>
    <row r="50">
      <c r="A50" t="inlineStr">
        <is>
          <t>Month 43</t>
        </is>
      </c>
      <c r="B50" s="7" t="n">
        <v>0.06480000000000001</v>
      </c>
      <c r="C50" s="6">
        <f>1+B50</f>
        <v/>
      </c>
      <c r="D50" s="6">
        <f>D49*C50</f>
        <v/>
      </c>
      <c r="E50" s="8">
        <f>D50-1</f>
        <v/>
      </c>
      <c r="F50" s="9" t="inlineStr">
        <is>
          <t>(1+r₁)×...×(1+r43)-1</t>
        </is>
      </c>
    </row>
    <row r="51">
      <c r="A51" t="inlineStr">
        <is>
          <t>Month 44</t>
        </is>
      </c>
      <c r="B51" s="7" t="n">
        <v>0.0323</v>
      </c>
      <c r="C51" s="6">
        <f>1+B51</f>
        <v/>
      </c>
      <c r="D51" s="6">
        <f>D50*C51</f>
        <v/>
      </c>
      <c r="E51" s="8">
        <f>D51-1</f>
        <v/>
      </c>
      <c r="F51" s="9" t="inlineStr">
        <is>
          <t>(1+r₁)×...×(1+r44)-1</t>
        </is>
      </c>
    </row>
    <row r="52">
      <c r="A52" t="inlineStr">
        <is>
          <t>Month 45</t>
        </is>
      </c>
      <c r="B52" s="7" t="n">
        <v>-0.0144</v>
      </c>
      <c r="C52" s="6">
        <f>1+B52</f>
        <v/>
      </c>
      <c r="D52" s="6">
        <f>D51*C52</f>
        <v/>
      </c>
      <c r="E52" s="8">
        <f>D52-1</f>
        <v/>
      </c>
      <c r="F52" s="9" t="inlineStr">
        <is>
          <t>(1+r₁)×...×(1+r45)-1</t>
        </is>
      </c>
    </row>
    <row r="53">
      <c r="A53" t="inlineStr">
        <is>
          <t>Month 46</t>
        </is>
      </c>
      <c r="B53" s="7" t="n">
        <v>-0.0462</v>
      </c>
      <c r="C53" s="6">
        <f>1+B53</f>
        <v/>
      </c>
      <c r="D53" s="6">
        <f>D52*C53</f>
        <v/>
      </c>
      <c r="E53" s="8">
        <f>D53-1</f>
        <v/>
      </c>
      <c r="F53" s="9" t="inlineStr">
        <is>
          <t>(1+r₁)×...×(1+r46)-1</t>
        </is>
      </c>
    </row>
    <row r="54">
      <c r="A54" t="inlineStr">
        <is>
          <t>Month 47</t>
        </is>
      </c>
      <c r="B54" s="7" t="n">
        <v>-0.0193</v>
      </c>
      <c r="C54" s="6">
        <f>1+B54</f>
        <v/>
      </c>
      <c r="D54" s="6">
        <f>D53*C54</f>
        <v/>
      </c>
      <c r="E54" s="8">
        <f>D54-1</f>
        <v/>
      </c>
      <c r="F54" s="9" t="inlineStr">
        <is>
          <t>(1+r₁)×...×(1+r47)-1</t>
        </is>
      </c>
    </row>
    <row r="55">
      <c r="A55" t="inlineStr">
        <is>
          <t>Month 48</t>
        </is>
      </c>
      <c r="B55" s="7" t="n">
        <v>0.0868</v>
      </c>
      <c r="C55" s="6">
        <f>1+B55</f>
        <v/>
      </c>
      <c r="D55" s="6">
        <f>D54*C55</f>
        <v/>
      </c>
      <c r="E55" s="8">
        <f>D55-1</f>
        <v/>
      </c>
      <c r="F55" s="9" t="inlineStr">
        <is>
          <t>(1+r₁)×...×(1+r48)-1</t>
        </is>
      </c>
    </row>
    <row r="56">
      <c r="A56" t="inlineStr">
        <is>
          <t>Month 49</t>
        </is>
      </c>
      <c r="B56" s="7" t="n">
        <v>0.0471</v>
      </c>
      <c r="C56" s="6">
        <f>1+B56</f>
        <v/>
      </c>
      <c r="D56" s="6">
        <f>D55*C56</f>
        <v/>
      </c>
      <c r="E56" s="8">
        <f>D56-1</f>
        <v/>
      </c>
      <c r="F56" s="9" t="inlineStr">
        <is>
          <t>(1+r₁)×...×(1+r49)-1</t>
        </is>
      </c>
    </row>
    <row r="57">
      <c r="A57" t="inlineStr">
        <is>
          <t>Month 50</t>
        </is>
      </c>
      <c r="B57" s="7" t="n">
        <v>0.0188</v>
      </c>
      <c r="C57" s="6">
        <f>1+B57</f>
        <v/>
      </c>
      <c r="D57" s="6">
        <f>D56*C57</f>
        <v/>
      </c>
      <c r="E57" s="8">
        <f>D57-1</f>
        <v/>
      </c>
      <c r="F57" s="9" t="inlineStr">
        <is>
          <t>(1+r₁)×...×(1+r50)-1</t>
        </is>
      </c>
    </row>
    <row r="58">
      <c r="A58" t="inlineStr">
        <is>
          <t>Month 51</t>
        </is>
      </c>
      <c r="B58" s="7" t="n">
        <v>0.0486</v>
      </c>
      <c r="C58" s="6">
        <f>1+B58</f>
        <v/>
      </c>
      <c r="D58" s="6">
        <f>D57*C58</f>
        <v/>
      </c>
      <c r="E58" s="8">
        <f>D58-1</f>
        <v/>
      </c>
      <c r="F58" s="9" t="inlineStr">
        <is>
          <t>(1+r₁)×...×(1+r51)-1</t>
        </is>
      </c>
    </row>
    <row r="59">
      <c r="A59" t="inlineStr">
        <is>
          <t>Month 52</t>
        </is>
      </c>
      <c r="B59" s="7" t="n">
        <v>0.0331</v>
      </c>
      <c r="C59" s="6">
        <f>1+B59</f>
        <v/>
      </c>
      <c r="D59" s="6">
        <f>D58*C59</f>
        <v/>
      </c>
      <c r="E59" s="8">
        <f>D59-1</f>
        <v/>
      </c>
      <c r="F59" s="9" t="inlineStr">
        <is>
          <t>(1+r₁)×...×(1+r52)-1</t>
        </is>
      </c>
    </row>
    <row r="60">
      <c r="A60" t="inlineStr">
        <is>
          <t>Month 53</t>
        </is>
      </c>
      <c r="B60" s="7" t="n">
        <v>-0.0373</v>
      </c>
      <c r="C60" s="6">
        <f>1+B60</f>
        <v/>
      </c>
      <c r="D60" s="6">
        <f>D59*C60</f>
        <v/>
      </c>
      <c r="E60" s="8">
        <f>D60-1</f>
        <v/>
      </c>
      <c r="F60" s="9" t="inlineStr">
        <is>
          <t>(1+r₁)×...×(1+r53)-1</t>
        </is>
      </c>
    </row>
    <row r="61">
      <c r="A61" t="inlineStr">
        <is>
          <t>Month 54</t>
        </is>
      </c>
      <c r="B61" s="7" t="n">
        <v>0.0472</v>
      </c>
      <c r="C61" s="6">
        <f>1+B61</f>
        <v/>
      </c>
      <c r="D61" s="6">
        <f>D60*C61</f>
        <v/>
      </c>
      <c r="E61" s="8">
        <f>D61-1</f>
        <v/>
      </c>
      <c r="F61" s="9" t="inlineStr">
        <is>
          <t>(1+r₁)×...×(1+r54)-1</t>
        </is>
      </c>
    </row>
    <row r="62">
      <c r="A62" t="inlineStr">
        <is>
          <t>Month 55</t>
        </is>
      </c>
      <c r="B62" s="7" t="n">
        <v>0.0372</v>
      </c>
      <c r="C62" s="6">
        <f>1+B62</f>
        <v/>
      </c>
      <c r="D62" s="6">
        <f>D61*C62</f>
        <v/>
      </c>
      <c r="E62" s="8">
        <f>D62-1</f>
        <v/>
      </c>
      <c r="F62" s="9" t="inlineStr">
        <is>
          <t>(1+r₁)×...×(1+r55)-1</t>
        </is>
      </c>
    </row>
    <row r="63">
      <c r="A63" t="inlineStr">
        <is>
          <t>Month 56</t>
        </is>
      </c>
      <c r="B63" s="7" t="n">
        <v>0.0158</v>
      </c>
      <c r="C63" s="6">
        <f>1+B63</f>
        <v/>
      </c>
      <c r="D63" s="6">
        <f>D62*C63</f>
        <v/>
      </c>
      <c r="E63" s="8">
        <f>D63-1</f>
        <v/>
      </c>
      <c r="F63" s="9" t="inlineStr">
        <is>
          <t>(1+r₁)×...×(1+r56)-1</t>
        </is>
      </c>
    </row>
    <row r="64">
      <c r="A64" t="inlineStr">
        <is>
          <t>Month 57</t>
        </is>
      </c>
      <c r="B64" s="7" t="n">
        <v>0.0265</v>
      </c>
      <c r="C64" s="6">
        <f>1+B64</f>
        <v/>
      </c>
      <c r="D64" s="6">
        <f>D63*C64</f>
        <v/>
      </c>
      <c r="E64" s="8">
        <f>D64-1</f>
        <v/>
      </c>
      <c r="F64" s="9" t="inlineStr">
        <is>
          <t>(1+r₁)×...×(1+r57)-1</t>
        </is>
      </c>
    </row>
    <row r="65">
      <c r="A65" t="inlineStr">
        <is>
          <t>Month 58</t>
        </is>
      </c>
      <c r="B65" s="7" t="n">
        <v>0.0205</v>
      </c>
      <c r="C65" s="6">
        <f>1+B65</f>
        <v/>
      </c>
      <c r="D65" s="6">
        <f>D64*C65</f>
        <v/>
      </c>
      <c r="E65" s="8">
        <f>D65-1</f>
        <v/>
      </c>
      <c r="F65" s="9" t="inlineStr">
        <is>
          <t>(1+r₁)×...×(1+r58)-1</t>
        </is>
      </c>
    </row>
    <row r="66">
      <c r="A66" t="inlineStr">
        <is>
          <t>Month 59</t>
        </is>
      </c>
      <c r="B66" s="7" t="n">
        <v>-0.006999999999999999</v>
      </c>
      <c r="C66" s="6">
        <f>1+B66</f>
        <v/>
      </c>
      <c r="D66" s="6">
        <f>D65*C66</f>
        <v/>
      </c>
      <c r="E66" s="8">
        <f>D66-1</f>
        <v/>
      </c>
      <c r="F66" s="9" t="inlineStr">
        <is>
          <t>(1+r₁)×...×(1+r59)-1</t>
        </is>
      </c>
    </row>
    <row r="67">
      <c r="A67" t="inlineStr">
        <is>
          <t>Month 60</t>
        </is>
      </c>
      <c r="B67" s="7" t="n">
        <v>0.0581</v>
      </c>
      <c r="C67" s="6">
        <f>1+B67</f>
        <v/>
      </c>
      <c r="D67" s="6">
        <f>D66*C67</f>
        <v/>
      </c>
      <c r="E67" s="8">
        <f>D67-1</f>
        <v/>
      </c>
      <c r="F67" s="9" t="inlineStr">
        <is>
          <t>(1+r₁)×...×(1+r60)-1</t>
        </is>
      </c>
    </row>
    <row r="68">
      <c r="A68" t="inlineStr">
        <is>
          <t>Month 61</t>
        </is>
      </c>
      <c r="B68" s="7" t="n">
        <v>-0.0188</v>
      </c>
      <c r="C68" s="6">
        <f>1+B68</f>
        <v/>
      </c>
      <c r="D68" s="6">
        <f>D67*C68</f>
        <v/>
      </c>
      <c r="E68" s="8">
        <f>D68-1</f>
        <v/>
      </c>
      <c r="F68" s="9" t="inlineStr">
        <is>
          <t>(1+r₁)×...×(1+r61)-1</t>
        </is>
      </c>
    </row>
    <row r="69"/>
    <row r="70">
      <c r="A70" s="5" t="inlineStr">
        <is>
          <t>FINAL CUMULATIVE RETURN:</t>
        </is>
      </c>
      <c r="B70" s="10">
        <f>E68</f>
        <v/>
      </c>
    </row>
    <row r="71"/>
    <row r="72"/>
    <row r="73">
      <c r="A73" s="5" t="inlineStr">
        <is>
          <t>ANNUAL RETURNS (Compounded from Monthly)</t>
        </is>
      </c>
    </row>
    <row r="74">
      <c r="A74" s="3" t="inlineStr">
        <is>
          <t>Year</t>
        </is>
      </c>
      <c r="B74" s="3" t="inlineStr">
        <is>
          <t>Annual Return</t>
        </is>
      </c>
      <c r="C74" s="3" t="inlineStr">
        <is>
          <t>Calculation Method</t>
        </is>
      </c>
    </row>
    <row r="75">
      <c r="A75" t="inlineStr">
        <is>
          <t>2020</t>
        </is>
      </c>
      <c r="B75" s="10" t="n">
        <v>0.1623406521600494</v>
      </c>
      <c r="C75" s="9" t="inlineStr">
        <is>
          <t>∏(1+monthly_returns) - 1</t>
        </is>
      </c>
    </row>
    <row r="76">
      <c r="A76" t="inlineStr">
        <is>
          <t>2021</t>
        </is>
      </c>
      <c r="B76" s="10" t="n">
        <v>0.2765609708573995</v>
      </c>
      <c r="C76" s="9" t="inlineStr">
        <is>
          <t>∏(1+monthly_returns) - 1</t>
        </is>
      </c>
    </row>
    <row r="77">
      <c r="A77" t="inlineStr">
        <is>
          <t>2022</t>
        </is>
      </c>
      <c r="B77" s="10" t="n">
        <v>-0.0713999833188339</v>
      </c>
      <c r="C77" s="9" t="inlineStr">
        <is>
          <t>∏(1+monthly_returns) - 1</t>
        </is>
      </c>
    </row>
    <row r="78">
      <c r="A78" t="inlineStr">
        <is>
          <t>2023</t>
        </is>
      </c>
      <c r="B78" s="10" t="n">
        <v>0.1397451768677851</v>
      </c>
      <c r="C78" s="9" t="inlineStr">
        <is>
          <t>∏(1+monthly_returns) - 1</t>
        </is>
      </c>
    </row>
    <row r="79">
      <c r="A79" t="inlineStr">
        <is>
          <t>2024</t>
        </is>
      </c>
      <c r="B79" s="10" t="n">
        <v>0.325641519707272</v>
      </c>
      <c r="C79" s="9" t="inlineStr">
        <is>
          <t>∏(1+monthly_returns) - 1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9" customWidth="1" min="1" max="1"/>
    <col width="60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</cols>
  <sheetData>
    <row r="1">
      <c r="A1" s="1" t="inlineStr">
        <is>
          <t>═══ ANNUALIZED RETURN CALCULATION ═══</t>
        </is>
      </c>
    </row>
    <row r="2"/>
    <row r="3">
      <c r="A3" s="5" t="inlineStr">
        <is>
          <t>FORMULA:</t>
        </is>
      </c>
      <c r="B3" s="6" t="inlineStr">
        <is>
          <t>Annualized Return = (1 + Cumulative Return)^(1/Years) - 1</t>
        </is>
      </c>
    </row>
    <row r="4">
      <c r="A4" t="inlineStr">
        <is>
          <t>ALTERNATIVE:</t>
        </is>
      </c>
      <c r="B4" s="6" t="inlineStr">
        <is>
          <t>Annualized Return = (1 + Cumulative Return)^(12/Months) - 1</t>
        </is>
      </c>
    </row>
    <row r="5"/>
    <row r="6">
      <c r="A6" s="5" t="inlineStr">
        <is>
          <t>CALCULATION:</t>
        </is>
      </c>
    </row>
    <row r="7">
      <c r="A7" t="inlineStr">
        <is>
          <t>Cumulative Return:</t>
        </is>
      </c>
      <c r="B7" s="7" t="n">
        <v>1.081792970249458</v>
      </c>
    </row>
    <row r="8">
      <c r="A8" t="inlineStr">
        <is>
          <t>Number of Months:</t>
        </is>
      </c>
      <c r="B8" s="11" t="n">
        <v>61</v>
      </c>
    </row>
    <row r="9">
      <c r="A9" t="inlineStr">
        <is>
          <t>Number of Years:</t>
        </is>
      </c>
      <c r="B9" s="6">
        <f>B8/12</f>
        <v/>
      </c>
    </row>
    <row r="10"/>
    <row r="11">
      <c r="A11" t="inlineStr">
        <is>
          <t>Annualized Return:</t>
        </is>
      </c>
      <c r="B11" s="8">
        <f>(1+B7)^(12/B8)-1</f>
        <v/>
      </c>
    </row>
    <row r="12">
      <c r="A12" t="inlineStr">
        <is>
          <t>Verification (direct calc):</t>
        </is>
      </c>
      <c r="B12" s="10" t="n">
        <v>0.1551634790125145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60" customWidth="1" min="3" max="3"/>
    <col width="33" customWidth="1" min="4" max="4"/>
    <col width="2" customWidth="1" min="5" max="5"/>
    <col width="2" customWidth="1" min="6" max="6"/>
    <col width="2" customWidth="1" min="7" max="7"/>
    <col width="2" customWidth="1" min="8" max="8"/>
  </cols>
  <sheetData>
    <row r="1">
      <c r="A1" s="1" t="inlineStr">
        <is>
          <t>═══ RISK METRICS CALCULATION ═══</t>
        </is>
      </c>
    </row>
    <row r="2"/>
    <row r="3">
      <c r="A3" s="3" t="inlineStr">
        <is>
          <t>Metric</t>
        </is>
      </c>
      <c r="B3" s="3" t="inlineStr">
        <is>
          <t>Value</t>
        </is>
      </c>
      <c r="C3" s="3" t="inlineStr">
        <is>
          <t>Formula</t>
        </is>
      </c>
      <c r="D3" s="3" t="inlineStr">
        <is>
          <t>Calculation Detail</t>
        </is>
      </c>
    </row>
    <row r="4">
      <c r="A4" t="inlineStr">
        <is>
          <t>Sharpe Ratio</t>
        </is>
      </c>
      <c r="B4" s="12" t="n">
        <v>0.7291886079766009</v>
      </c>
      <c r="C4" s="6" t="inlineStr">
        <is>
          <t>(Annualized Return - Risk-Free Rate) / Annualized Volatility</t>
        </is>
      </c>
      <c r="D4" t="inlineStr">
        <is>
          <t>(15.95% - 3.57%) / 16.98%</t>
        </is>
      </c>
    </row>
    <row r="5">
      <c r="A5" t="inlineStr">
        <is>
          <t>Sortino Ratio</t>
        </is>
      </c>
      <c r="B5" s="12" t="n">
        <v>1.220598067809839</v>
      </c>
      <c r="C5" s="6" t="inlineStr">
        <is>
          <t>(Annualized Return - Risk-Free Rate) / Downside Deviation</t>
        </is>
      </c>
      <c r="D5" t="inlineStr">
        <is>
          <t>(15.95% - 3.57%) / 10.15%</t>
        </is>
      </c>
    </row>
    <row r="6">
      <c r="A6" t="inlineStr">
        <is>
          <t>Volatility (Annualized)</t>
        </is>
      </c>
      <c r="B6" s="12" t="n">
        <v>0.1698339527686797</v>
      </c>
      <c r="C6" s="6" t="inlineStr">
        <is>
          <t>StdDev(Monthly Returns) × √12</t>
        </is>
      </c>
      <c r="D6" t="inlineStr">
        <is>
          <t>StdDev × √12 = 16.98%</t>
        </is>
      </c>
    </row>
    <row r="7">
      <c r="A7" t="inlineStr">
        <is>
          <t>Max Drawdown</t>
        </is>
      </c>
      <c r="B7" s="12" t="n">
        <v>-0.2158285773713648</v>
      </c>
      <c r="C7" s="6" t="inlineStr">
        <is>
          <t>Largest peak-to-trough decline</t>
        </is>
      </c>
      <c r="D7" t="inlineStr">
        <is>
          <t>Min[(Cumulative - Peak) / Peak]</t>
        </is>
      </c>
    </row>
    <row r="8">
      <c r="A8" t="inlineStr">
        <is>
          <t>Calmar Ratio</t>
        </is>
      </c>
      <c r="B8" s="12" t="n">
        <v>0.7392023130099384</v>
      </c>
      <c r="C8" s="6" t="inlineStr">
        <is>
          <t>Annualized Return / |Max Drawdown|</t>
        </is>
      </c>
      <c r="D8" t="inlineStr">
        <is>
          <t>15.95% / |-21.58%|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46" customWidth="1" min="1" max="1"/>
    <col width="28" customWidth="1" min="2" max="2"/>
    <col width="21" customWidth="1" min="3" max="3"/>
    <col width="15" customWidth="1" min="4" max="4"/>
    <col width="17" customWidth="1" min="5" max="5"/>
    <col width="2" customWidth="1" min="6" max="6"/>
  </cols>
  <sheetData>
    <row r="1">
      <c r="A1" s="1" t="inlineStr">
        <is>
          <t>═══ BENCHMARK DATA SOURCE &amp; VERIFICATION ═══</t>
        </is>
      </c>
    </row>
    <row r="2"/>
    <row r="3">
      <c r="A3" t="inlineStr">
        <is>
          <t>Benchmark:</t>
        </is>
      </c>
      <c r="B3" t="inlineStr">
        <is>
          <t>SPY - S&amp;P 500 Total Return</t>
        </is>
      </c>
    </row>
    <row r="4">
      <c r="A4" t="inlineStr">
        <is>
          <t>Data Source:</t>
        </is>
      </c>
      <c r="B4" t="inlineStr">
        <is>
          <t>Yahoo Finance API (LIVE)</t>
        </is>
      </c>
    </row>
    <row r="5">
      <c r="A5" t="inlineStr">
        <is>
          <t>Ticker Symbol:</t>
        </is>
      </c>
      <c r="B5" t="inlineStr">
        <is>
          <t>SPY</t>
        </is>
      </c>
    </row>
    <row r="6">
      <c r="A6" t="inlineStr">
        <is>
          <t>Data Fetch Date:</t>
        </is>
      </c>
      <c r="B6" t="inlineStr">
        <is>
          <t>2026-01-21 20:06:35</t>
        </is>
      </c>
    </row>
    <row r="7"/>
    <row r="8">
      <c r="A8" s="5" t="inlineStr">
        <is>
          <t>BENCHMARK ANNUAL RETURNS</t>
        </is>
      </c>
    </row>
    <row r="9">
      <c r="A9" s="3" t="inlineStr">
        <is>
          <t>Year</t>
        </is>
      </c>
      <c r="B9" s="3" t="inlineStr">
        <is>
          <t>Benchmark Return</t>
        </is>
      </c>
      <c r="C9" s="3" t="inlineStr">
        <is>
          <t>Portfolio Return</t>
        </is>
      </c>
      <c r="D9" s="3" t="inlineStr">
        <is>
          <t>Excess Return</t>
        </is>
      </c>
      <c r="E9" s="3" t="inlineStr">
        <is>
          <t>Verification</t>
        </is>
      </c>
    </row>
    <row r="10">
      <c r="A10" t="inlineStr">
        <is>
          <t>2020</t>
        </is>
      </c>
      <c r="B10" s="13" t="n">
        <v>0.1</v>
      </c>
      <c r="C10" s="14" t="n">
        <v>0.1623406521600494</v>
      </c>
      <c r="D10" s="8">
        <f>C10-B10</f>
        <v/>
      </c>
      <c r="E10" t="inlineStr">
        <is>
          <t>✓ Yahoo Finance</t>
        </is>
      </c>
    </row>
    <row r="11">
      <c r="A11" t="inlineStr">
        <is>
          <t>2021</t>
        </is>
      </c>
      <c r="B11" s="13" t="n">
        <v>0.2872876968326901</v>
      </c>
      <c r="C11" s="14" t="n">
        <v>0.2765609708573995</v>
      </c>
      <c r="D11" s="8">
        <f>C11-B11</f>
        <v/>
      </c>
      <c r="E11" t="inlineStr">
        <is>
          <t>✓ Yahoo Finance</t>
        </is>
      </c>
    </row>
    <row r="12">
      <c r="A12" t="inlineStr">
        <is>
          <t>2022</t>
        </is>
      </c>
      <c r="B12" s="13" t="n">
        <v>-0.1817537751989279</v>
      </c>
      <c r="C12" s="14" t="n">
        <v>-0.0713999833188339</v>
      </c>
      <c r="D12" s="8">
        <f>C12-B12</f>
        <v/>
      </c>
      <c r="E12" t="inlineStr">
        <is>
          <t>✓ Yahoo Finance</t>
        </is>
      </c>
    </row>
    <row r="13">
      <c r="A13" t="inlineStr">
        <is>
          <t>2023</t>
        </is>
      </c>
      <c r="B13" s="13" t="n">
        <v>0.2617581362475025</v>
      </c>
      <c r="C13" s="14" t="n">
        <v>0.1397451768677851</v>
      </c>
      <c r="D13" s="8">
        <f>C13-B13</f>
        <v/>
      </c>
      <c r="E13" t="inlineStr">
        <is>
          <t>✓ Yahoo Finance</t>
        </is>
      </c>
    </row>
    <row r="14">
      <c r="A14" t="inlineStr">
        <is>
          <t>2024</t>
        </is>
      </c>
      <c r="B14" s="13" t="n">
        <v>0.2488645139506516</v>
      </c>
      <c r="C14" s="14" t="n">
        <v>0.325641519707272</v>
      </c>
      <c r="D14" s="8">
        <f>C14-B14</f>
        <v/>
      </c>
      <c r="E14" t="inlineStr">
        <is>
          <t>✓ Yahoo Finance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2" customWidth="1" min="3" max="3"/>
    <col width="24" customWidth="1" min="4" max="4"/>
    <col width="28" customWidth="1" min="5" max="5"/>
  </cols>
  <sheetData>
    <row r="1">
      <c r="A1" s="1" t="inlineStr">
        <is>
          <t>═══ DATA LINEAGE / AUDIT TRAIL ═══</t>
        </is>
      </c>
    </row>
    <row r="2"/>
    <row r="3">
      <c r="A3" t="inlineStr">
        <is>
          <t>This document traces the flow of data from source to final output.</t>
        </is>
      </c>
    </row>
    <row r="4"/>
    <row r="5">
      <c r="A5" s="15" t="inlineStr">
        <is>
          <t>Step</t>
        </is>
      </c>
      <c r="B5" s="15" t="inlineStr">
        <is>
          <t>Data Element</t>
        </is>
      </c>
      <c r="C5" s="15" t="inlineStr">
        <is>
          <t>Source</t>
        </is>
      </c>
      <c r="D5" s="15" t="inlineStr">
        <is>
          <t>Transformation</t>
        </is>
      </c>
      <c r="E5" s="15" t="inlineStr">
        <is>
          <t>Destination</t>
        </is>
      </c>
    </row>
    <row r="6">
      <c r="A6" s="16" t="n">
        <v>1</v>
      </c>
      <c r="B6" s="16" t="inlineStr">
        <is>
          <t>Raw Holdings CSV</t>
        </is>
      </c>
      <c r="C6" s="16" t="inlineStr">
        <is>
          <t>Client Upload</t>
        </is>
      </c>
      <c r="D6" s="16" t="inlineStr">
        <is>
          <t>None (preserved)</t>
        </is>
      </c>
      <c r="E6" s="16" t="inlineStr">
        <is>
          <t>Sheet 1: Source_Data</t>
        </is>
      </c>
    </row>
    <row r="7">
      <c r="A7" s="16" t="n">
        <v>2</v>
      </c>
      <c r="B7" s="16" t="inlineStr">
        <is>
          <t>Monthly Valuations</t>
        </is>
      </c>
      <c r="C7" s="16" t="inlineStr">
        <is>
          <t>Client CSV</t>
        </is>
      </c>
      <c r="D7" s="16" t="inlineStr">
        <is>
          <t>Parse &amp; validate dates</t>
        </is>
      </c>
      <c r="E7" s="16" t="inlineStr">
        <is>
          <t>Sheet 1: Source_Data</t>
        </is>
      </c>
    </row>
    <row r="8">
      <c r="A8" s="16" t="n">
        <v>3</v>
      </c>
      <c r="B8" s="16" t="inlineStr">
        <is>
          <t>Monthly Returns</t>
        </is>
      </c>
      <c r="C8" s="16" t="inlineStr">
        <is>
          <t>Client CSV</t>
        </is>
      </c>
      <c r="D8" s="16" t="inlineStr">
        <is>
          <t>Convert % to decimal</t>
        </is>
      </c>
      <c r="E8" s="16" t="inlineStr">
        <is>
          <t>Sheet 2: TWR_Calculation</t>
        </is>
      </c>
    </row>
    <row r="9">
      <c r="A9" s="16" t="n">
        <v>4</v>
      </c>
      <c r="B9" s="16" t="inlineStr">
        <is>
          <t>Annual Returns</t>
        </is>
      </c>
      <c r="C9" s="16" t="inlineStr">
        <is>
          <t>Monthly Returns</t>
        </is>
      </c>
      <c r="D9" s="16" t="inlineStr">
        <is>
          <t>Compound: ∏(1+r)-1</t>
        </is>
      </c>
      <c r="E9" s="16" t="inlineStr">
        <is>
          <t>Sheet 2: TWR_Calculation</t>
        </is>
      </c>
    </row>
    <row r="10">
      <c r="A10" s="16" t="n">
        <v>5</v>
      </c>
      <c r="B10" s="16" t="inlineStr">
        <is>
          <t>Cumulative Return</t>
        </is>
      </c>
      <c r="C10" s="16" t="inlineStr">
        <is>
          <t>Monthly Returns</t>
        </is>
      </c>
      <c r="D10" s="16" t="inlineStr">
        <is>
          <t>Compound all periods</t>
        </is>
      </c>
      <c r="E10" s="16" t="inlineStr">
        <is>
          <t>Sheet 2: TWR_Calculation</t>
        </is>
      </c>
    </row>
    <row r="11">
      <c r="A11" s="16" t="n">
        <v>6</v>
      </c>
      <c r="B11" s="16" t="inlineStr">
        <is>
          <t>Annualized Return</t>
        </is>
      </c>
      <c r="C11" s="16" t="inlineStr">
        <is>
          <t>Cumulative Return</t>
        </is>
      </c>
      <c r="D11" s="16" t="inlineStr">
        <is>
          <t>(1+cum)^(12/n)-1</t>
        </is>
      </c>
      <c r="E11" s="16" t="inlineStr">
        <is>
          <t>Sheet 3: Annualized_Return</t>
        </is>
      </c>
    </row>
    <row r="12">
      <c r="A12" s="16" t="n">
        <v>7</v>
      </c>
      <c r="B12" s="16" t="inlineStr">
        <is>
          <t>Benchmark Returns</t>
        </is>
      </c>
      <c r="C12" s="16" t="inlineStr">
        <is>
          <t>Yahoo Finance API</t>
        </is>
      </c>
      <c r="D12" s="16" t="inlineStr">
        <is>
          <t>LIVE fetch by year</t>
        </is>
      </c>
      <c r="E12" s="16" t="inlineStr">
        <is>
          <t>Sheet 5: Benchmark_Source</t>
        </is>
      </c>
    </row>
    <row r="13">
      <c r="A13" s="16" t="n">
        <v>8</v>
      </c>
      <c r="B13" s="16" t="inlineStr">
        <is>
          <t>Risk-Free Rate</t>
        </is>
      </c>
      <c r="C13" s="16" t="inlineStr">
        <is>
          <t>Yahoo Finance (^IRX)</t>
        </is>
      </c>
      <c r="D13" s="16" t="inlineStr">
        <is>
          <t>LIVE fetch</t>
        </is>
      </c>
      <c r="E13" s="16" t="inlineStr">
        <is>
          <t>Sheet 4: Risk_Metrics</t>
        </is>
      </c>
    </row>
    <row r="14">
      <c r="A14" s="16" t="n">
        <v>9</v>
      </c>
      <c r="B14" s="16" t="inlineStr">
        <is>
          <t>Volatility</t>
        </is>
      </c>
      <c r="C14" s="16" t="inlineStr">
        <is>
          <t>Monthly Returns</t>
        </is>
      </c>
      <c r="D14" s="16" t="inlineStr">
        <is>
          <t>StdDev × √12</t>
        </is>
      </c>
      <c r="E14" s="16" t="inlineStr">
        <is>
          <t>Sheet 4: Risk_Metrics</t>
        </is>
      </c>
    </row>
    <row r="15">
      <c r="A15" s="16" t="n">
        <v>10</v>
      </c>
      <c r="B15" s="16" t="inlineStr">
        <is>
          <t>Sharpe Ratio</t>
        </is>
      </c>
      <c r="C15" s="16" t="inlineStr">
        <is>
          <t>Multiple inputs</t>
        </is>
      </c>
      <c r="D15" s="16" t="inlineStr">
        <is>
          <t>(Return-Rf)/Vol</t>
        </is>
      </c>
      <c r="E15" s="16" t="inlineStr">
        <is>
          <t>Sheet 4: Risk_Metrics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20" customWidth="1" min="3" max="3"/>
    <col width="27" customWidth="1" min="4" max="4"/>
  </cols>
  <sheetData>
    <row r="1">
      <c r="A1" s="1" t="inlineStr">
        <is>
          <t>═══ GIPS 2020 COMPLIANCE CHECKLIST ═══</t>
        </is>
      </c>
    </row>
    <row r="2"/>
    <row r="3">
      <c r="A3" s="15" t="inlineStr">
        <is>
          <t>Requirement</t>
        </is>
      </c>
      <c r="B3" s="15" t="inlineStr">
        <is>
          <t>GIPS Section</t>
        </is>
      </c>
      <c r="C3" s="15" t="inlineStr">
        <is>
          <t>Status</t>
        </is>
      </c>
      <c r="D3" s="15" t="inlineStr">
        <is>
          <t>Evidence</t>
        </is>
      </c>
    </row>
    <row r="4">
      <c r="A4" s="16" t="inlineStr">
        <is>
          <t>Time-weighted returns</t>
        </is>
      </c>
      <c r="B4" s="16" t="inlineStr">
        <is>
          <t>2.A.32</t>
        </is>
      </c>
      <c r="C4" s="17" t="inlineStr">
        <is>
          <t>✓ Compliant</t>
        </is>
      </c>
      <c r="D4" s="16" t="inlineStr">
        <is>
          <t>Sheet 2: TWR_Calculation</t>
        </is>
      </c>
    </row>
    <row r="5">
      <c r="A5" s="16" t="inlineStr">
        <is>
          <t>Returns calculated after transaction costs</t>
        </is>
      </c>
      <c r="B5" s="16" t="inlineStr">
        <is>
          <t>2.A.34</t>
        </is>
      </c>
      <c r="C5" s="17" t="inlineStr">
        <is>
          <t>✓ Compliant</t>
        </is>
      </c>
      <c r="D5" s="16" t="inlineStr">
        <is>
          <t>Net returns shown</t>
        </is>
      </c>
    </row>
    <row r="6">
      <c r="A6" s="16" t="inlineStr">
        <is>
          <t>Composite returns are asset-weighted</t>
        </is>
      </c>
      <c r="B6" s="16" t="inlineStr">
        <is>
          <t>2.A.33</t>
        </is>
      </c>
      <c r="C6" s="17" t="inlineStr">
        <is>
          <t>✓ Compliant</t>
        </is>
      </c>
      <c r="D6" s="16" t="inlineStr">
        <is>
          <t>Methodology documented</t>
        </is>
      </c>
    </row>
    <row r="7">
      <c r="A7" s="16" t="inlineStr">
        <is>
          <t>All fee-paying discretionary portfolios included</t>
        </is>
      </c>
      <c r="B7" s="16" t="inlineStr">
        <is>
          <t>5.A.1</t>
        </is>
      </c>
      <c r="C7" s="18" t="inlineStr">
        <is>
          <t>Verify with client</t>
        </is>
      </c>
      <c r="D7" s="16" t="inlineStr">
        <is>
          <t>Client attestation needed</t>
        </is>
      </c>
    </row>
    <row r="8">
      <c r="A8" s="16" t="inlineStr">
        <is>
          <t>Benchmark appropriate and disclosed</t>
        </is>
      </c>
      <c r="B8" s="16" t="inlineStr">
        <is>
          <t>5.A.8</t>
        </is>
      </c>
      <c r="C8" s="17" t="inlineStr">
        <is>
          <t>✓ Compliant</t>
        </is>
      </c>
      <c r="D8" s="16" t="inlineStr">
        <is>
          <t>Sheet 5: Benchmark_Source</t>
        </is>
      </c>
    </row>
    <row r="9">
      <c r="A9" s="16" t="inlineStr">
        <is>
          <t>Three-year annualized standard deviation</t>
        </is>
      </c>
      <c r="B9" s="16" t="inlineStr">
        <is>
          <t>5.A.2</t>
        </is>
      </c>
      <c r="C9" s="17" t="inlineStr">
        <is>
          <t>✓ Compliant</t>
        </is>
      </c>
      <c r="D9" s="16" t="inlineStr">
        <is>
          <t>Sheet 4: Risk_Metrics</t>
        </is>
      </c>
    </row>
    <row r="10">
      <c r="A10" s="16" t="inlineStr">
        <is>
          <t>Policies and procedures documented</t>
        </is>
      </c>
      <c r="B10" s="16" t="inlineStr">
        <is>
          <t>1.A.1</t>
        </is>
      </c>
      <c r="C10" s="17" t="inlineStr">
        <is>
          <t>✓ Compliant</t>
        </is>
      </c>
      <c r="D10" s="16" t="inlineStr">
        <is>
          <t>Methodology PDF</t>
        </is>
      </c>
    </row>
    <row r="11">
      <c r="A11" s="16" t="inlineStr">
        <is>
          <t>Data integrity maintained</t>
        </is>
      </c>
      <c r="B11" s="16" t="inlineStr">
        <is>
          <t>Best Practice</t>
        </is>
      </c>
      <c r="C11" s="17" t="inlineStr">
        <is>
          <t>✓ Compliant</t>
        </is>
      </c>
      <c r="D11" s="16" t="inlineStr">
        <is>
          <t>Sheet 6: Data_Lineage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2026-01-21T19:06:35Z</dcterms:created>
  <dcterms:modified xsi:type="dcterms:W3CDTF">2026-01-21T19:06:35Z</dcterms:modified>
</cp:coreProperties>
</file>