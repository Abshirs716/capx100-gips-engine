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Input_Data" sheetId="1" state="visible" r:id="rId1"/>
    <sheet name="2_Cumulative_Return" sheetId="2" state="visible" r:id="rId2"/>
    <sheet name="3_Annualized_Return" sheetId="3" state="visible" r:id="rId3"/>
    <sheet name="4_Sharpe_Ratio" sheetId="4" state="visible" r:id="rId4"/>
    <sheet name="5_All_Metrics_Summary" sheetId="5" state="visible" r:id="rId5"/>
    <sheet name="6_Growth_of_$100" sheetId="6" state="visible" r:id="rId6"/>
    <sheet name="7_Formula_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$#,##0.00"/>
  </numFmts>
  <fonts count="6">
    <font>
      <name val="Calibri"/>
      <family val="2"/>
      <color theme="1"/>
      <sz val="11"/>
      <scheme val="minor"/>
    </font>
    <font>
      <b val="1"/>
      <color rgb="001a1f3e"/>
      <sz val="14"/>
    </font>
    <font>
      <b val="1"/>
      <sz val="12"/>
    </font>
    <font>
      <b val="1"/>
      <color rgb="00FFFFFF"/>
      <sz val="11"/>
    </font>
    <font>
      <b val="1"/>
    </font>
    <font>
      <b val="1"/>
      <color rgb="00155724"/>
    </font>
  </fonts>
  <fills count="5">
    <fill>
      <patternFill/>
    </fill>
    <fill>
      <patternFill patternType="gray125"/>
    </fill>
    <fill>
      <patternFill patternType="solid">
        <fgColor rgb="001a1f3e"/>
        <bgColor rgb="001a1f3e"/>
      </patternFill>
    </fill>
    <fill>
      <patternFill patternType="solid">
        <fgColor rgb="00e8f4f8"/>
        <bgColor rgb="00e8f4f8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10" fontId="0" fillId="0" borderId="1" pivotButton="0" quotePrefix="0" xfId="0"/>
    <xf numFmtId="10" fontId="0" fillId="0" borderId="0" pivotButton="0" quotePrefix="0" xfId="0"/>
    <xf numFmtId="0" fontId="0" fillId="3" borderId="0" pivotButton="0" quotePrefix="0" xfId="0"/>
    <xf numFmtId="0" fontId="4" fillId="0" borderId="0" pivotButton="0" quotePrefix="0" xfId="0"/>
    <xf numFmtId="164" fontId="0" fillId="0" borderId="1" pivotButton="0" quotePrefix="0" xfId="0"/>
    <xf numFmtId="164" fontId="0" fillId="0" borderId="0" pivotButton="0" quotePrefix="0" xfId="0"/>
    <xf numFmtId="10" fontId="4" fillId="4" borderId="0" pivotButton="0" quotePrefix="0" xfId="0"/>
    <xf numFmtId="10" fontId="0" fillId="4" borderId="0" pivotButton="0" quotePrefix="0" xfId="0"/>
    <xf numFmtId="2" fontId="4" fillId="4" borderId="0" pivotButton="0" quotePrefix="0" xfId="0"/>
    <xf numFmtId="0" fontId="5" fillId="4" borderId="1" pivotButton="0" quotePrefix="0" xfId="0"/>
    <xf numFmtId="165" fontId="0" fillId="0" borderId="1" pivotButton="0" quotePrefix="0" xfId="0"/>
    <xf numFmtId="165" fontId="4" fillId="4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5" customWidth="1" min="4" max="4"/>
  </cols>
  <sheetData>
    <row r="1">
      <c r="A1" s="1" t="inlineStr">
        <is>
          <t>GIPS CALCULATION VERIFICATION - INPUT DATA</t>
        </is>
      </c>
    </row>
    <row r="3">
      <c r="A3" s="2" t="inlineStr">
        <is>
          <t>Annual Returns</t>
        </is>
      </c>
    </row>
    <row r="4">
      <c r="A4" s="3" t="inlineStr">
        <is>
          <t>Year</t>
        </is>
      </c>
      <c r="B4" s="3" t="inlineStr">
        <is>
          <t>Portfolio Return</t>
        </is>
      </c>
      <c r="C4" s="3" t="inlineStr">
        <is>
          <t>Benchmark Return</t>
        </is>
      </c>
      <c r="D4" s="3" t="inlineStr">
        <is>
          <t>Excess Return</t>
        </is>
      </c>
    </row>
    <row r="5">
      <c r="A5" s="4" t="inlineStr">
        <is>
          <t>2020</t>
        </is>
      </c>
      <c r="B5" s="5" t="n">
        <v>0.082</v>
      </c>
      <c r="C5" s="5" t="n">
        <v>0.07199999999999999</v>
      </c>
      <c r="D5" s="5">
        <f>B5-C5</f>
        <v/>
      </c>
    </row>
    <row r="6">
      <c r="A6" s="4" t="inlineStr">
        <is>
          <t>2021</t>
        </is>
      </c>
      <c r="B6" s="5" t="n">
        <v>0.156</v>
      </c>
      <c r="C6" s="5" t="n">
        <v>0.145</v>
      </c>
      <c r="D6" s="5">
        <f>B6-C6</f>
        <v/>
      </c>
    </row>
    <row r="7">
      <c r="A7" s="4" t="inlineStr">
        <is>
          <t>2022</t>
        </is>
      </c>
      <c r="B7" s="5" t="n">
        <v>-0.048</v>
      </c>
      <c r="C7" s="5" t="n">
        <v>-0.058</v>
      </c>
      <c r="D7" s="5">
        <f>B7-C7</f>
        <v/>
      </c>
    </row>
    <row r="8">
      <c r="A8" s="4" t="inlineStr">
        <is>
          <t>2023</t>
        </is>
      </c>
      <c r="B8" s="5" t="n">
        <v>0.142</v>
      </c>
      <c r="C8" s="5" t="n">
        <v>0.132</v>
      </c>
      <c r="D8" s="5">
        <f>B8-C8</f>
        <v/>
      </c>
    </row>
    <row r="9">
      <c r="A9" s="4" t="inlineStr">
        <is>
          <t>2024</t>
        </is>
      </c>
      <c r="B9" s="5" t="n">
        <v>0.108</v>
      </c>
      <c r="C9" s="5" t="n">
        <v>0.098</v>
      </c>
      <c r="D9" s="5">
        <f>B9-C9</f>
        <v/>
      </c>
    </row>
    <row r="12">
      <c r="A12" s="2" t="inlineStr">
        <is>
          <t>Parameters</t>
        </is>
      </c>
    </row>
    <row r="13">
      <c r="A13" t="inlineStr">
        <is>
          <t>Risk-Free Rate</t>
        </is>
      </c>
      <c r="B13" s="6" t="n">
        <v>0.04</v>
      </c>
    </row>
    <row r="14">
      <c r="A14" t="inlineStr">
        <is>
          <t>Number of Years</t>
        </is>
      </c>
      <c r="B14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2" customWidth="1" min="4" max="4"/>
    <col width="18" customWidth="1" min="5" max="5"/>
  </cols>
  <sheetData>
    <row r="1">
      <c r="A1" s="1" t="inlineStr">
        <is>
          <t>CUMULATIVE RETURN CALCULATION</t>
        </is>
      </c>
    </row>
    <row r="3">
      <c r="A3" s="7" t="inlineStr">
        <is>
          <t>Formula: Cumulative Return = ∏(1 + Ri) - 1</t>
        </is>
      </c>
    </row>
    <row r="5">
      <c r="A5" s="8" t="inlineStr">
        <is>
          <t>Step-by-Step:</t>
        </is>
      </c>
    </row>
    <row r="6">
      <c r="A6" s="3" t="inlineStr">
        <is>
          <t>Step</t>
        </is>
      </c>
      <c r="B6" s="3" t="inlineStr">
        <is>
          <t>Year</t>
        </is>
      </c>
      <c r="C6" s="3" t="inlineStr">
        <is>
          <t>Return</t>
        </is>
      </c>
      <c r="D6" s="3" t="inlineStr">
        <is>
          <t>1 + Return</t>
        </is>
      </c>
      <c r="E6" s="3" t="inlineStr">
        <is>
          <t>Cumulative Product</t>
        </is>
      </c>
    </row>
    <row r="7">
      <c r="A7" s="4" t="n">
        <v>1</v>
      </c>
      <c r="B7" s="4" t="inlineStr">
        <is>
          <t>2020</t>
        </is>
      </c>
      <c r="C7" s="5" t="n">
        <v>0.082</v>
      </c>
      <c r="D7" s="9">
        <f>1+C7</f>
        <v/>
      </c>
      <c r="E7" s="9">
        <f>D7</f>
        <v/>
      </c>
    </row>
    <row r="8">
      <c r="A8" s="4" t="n">
        <v>2</v>
      </c>
      <c r="B8" s="4" t="inlineStr">
        <is>
          <t>2021</t>
        </is>
      </c>
      <c r="C8" s="5" t="n">
        <v>0.156</v>
      </c>
      <c r="D8" s="9">
        <f>1+C8</f>
        <v/>
      </c>
      <c r="E8" s="9">
        <f>E7*D8</f>
        <v/>
      </c>
    </row>
    <row r="9">
      <c r="A9" s="4" t="n">
        <v>3</v>
      </c>
      <c r="B9" s="4" t="inlineStr">
        <is>
          <t>2022</t>
        </is>
      </c>
      <c r="C9" s="5" t="n">
        <v>-0.048</v>
      </c>
      <c r="D9" s="9">
        <f>1+C9</f>
        <v/>
      </c>
      <c r="E9" s="9">
        <f>E8*D9</f>
        <v/>
      </c>
    </row>
    <row r="10">
      <c r="A10" s="4" t="n">
        <v>4</v>
      </c>
      <c r="B10" s="4" t="inlineStr">
        <is>
          <t>2023</t>
        </is>
      </c>
      <c r="C10" s="5" t="n">
        <v>0.142</v>
      </c>
      <c r="D10" s="9">
        <f>1+C10</f>
        <v/>
      </c>
      <c r="E10" s="9">
        <f>E9*D10</f>
        <v/>
      </c>
    </row>
    <row r="11">
      <c r="A11" s="4" t="n">
        <v>5</v>
      </c>
      <c r="B11" s="4" t="inlineStr">
        <is>
          <t>2024</t>
        </is>
      </c>
      <c r="C11" s="5" t="n">
        <v>0.108</v>
      </c>
      <c r="D11" s="9">
        <f>1+C11</f>
        <v/>
      </c>
      <c r="E11" s="9">
        <f>E10*D11</f>
        <v/>
      </c>
    </row>
    <row r="13">
      <c r="A13" t="inlineStr">
        <is>
          <t>Final Cumulative Product:</t>
        </is>
      </c>
      <c r="B13" s="10">
        <f>E11</f>
        <v/>
      </c>
    </row>
    <row r="14">
      <c r="A14" s="8" t="inlineStr">
        <is>
          <t>CUMULATIVE RETURN:</t>
        </is>
      </c>
      <c r="B14" s="11">
        <f>E11-1</f>
        <v/>
      </c>
    </row>
    <row r="16">
      <c r="A16" t="inlineStr">
        <is>
          <t>Excel PRODUCT Function Verification:</t>
        </is>
      </c>
      <c r="B16" s="12">
        <f>PRODUCT(1+0.082,1+0.156,1-0.048,1+0.142,1+0.108)-1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ANNUALIZED RETURN CALCULATION</t>
        </is>
      </c>
    </row>
    <row r="3">
      <c r="A3" s="7" t="inlineStr">
        <is>
          <t>Formula: Annualized = (1 + Cumulative)^(1/n) - 1</t>
        </is>
      </c>
    </row>
    <row r="5">
      <c r="A5" s="8" t="inlineStr">
        <is>
          <t>Inputs:</t>
        </is>
      </c>
    </row>
    <row r="6">
      <c r="A6" t="inlineStr">
        <is>
          <t>Cumulative Return</t>
        </is>
      </c>
      <c r="B6" s="6">
        <f>'2_Cumulative_Return'!B14</f>
        <v/>
      </c>
    </row>
    <row r="7">
      <c r="A7" t="inlineStr">
        <is>
          <t>Number of Years (n)</t>
        </is>
      </c>
      <c r="B7" t="n">
        <v>5</v>
      </c>
    </row>
    <row r="9">
      <c r="A9" s="8" t="inlineStr">
        <is>
          <t>Calculation:</t>
        </is>
      </c>
    </row>
    <row r="10">
      <c r="A10" t="inlineStr">
        <is>
          <t>(1 + Cumulative)</t>
        </is>
      </c>
      <c r="B10" s="10">
        <f>1+B6</f>
        <v/>
      </c>
    </row>
    <row r="11">
      <c r="A11" t="inlineStr">
        <is>
          <t>^(1/n)</t>
        </is>
      </c>
      <c r="B11" s="10">
        <f>B10^(1/B7)</f>
        <v/>
      </c>
    </row>
    <row r="12">
      <c r="A12" t="inlineStr">
        <is>
          <t>- 1</t>
        </is>
      </c>
    </row>
    <row r="13">
      <c r="A13" s="8" t="inlineStr">
        <is>
          <t>ANNUALIZED RETURN:</t>
        </is>
      </c>
      <c r="B13" s="11">
        <f>B11-1</f>
        <v/>
      </c>
    </row>
    <row r="15">
      <c r="A15" t="inlineStr">
        <is>
          <t>Excel Power Function Verification:</t>
        </is>
      </c>
      <c r="B15" s="12">
        <f>POWER(1+B6,1/5)-1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SHARPE RATIO CALCULATION</t>
        </is>
      </c>
    </row>
    <row r="3">
      <c r="A3" s="7" t="inlineStr">
        <is>
          <t>Formula: Sharpe = (Rp - Rf) / σp</t>
        </is>
      </c>
    </row>
    <row r="5">
      <c r="A5" s="8" t="inlineStr">
        <is>
          <t>Inputs:</t>
        </is>
      </c>
    </row>
    <row r="6">
      <c r="A6" t="inlineStr">
        <is>
          <t>Annualized Return (Rp)</t>
        </is>
      </c>
      <c r="B6" s="6">
        <f>'3_Annualized_Return'!B13</f>
        <v/>
      </c>
    </row>
    <row r="7">
      <c r="A7" t="inlineStr">
        <is>
          <t>Risk-Free Rate (Rf)</t>
        </is>
      </c>
      <c r="B7" s="6" t="n">
        <v>0.04</v>
      </c>
    </row>
    <row r="8">
      <c r="A8" t="inlineStr">
        <is>
          <t>Annualized Volatility (σp)</t>
        </is>
      </c>
      <c r="B8" s="6" t="n">
        <v>0.0555</v>
      </c>
    </row>
    <row r="10">
      <c r="A10" s="8" t="inlineStr">
        <is>
          <t>Calculation:</t>
        </is>
      </c>
    </row>
    <row r="11">
      <c r="A11" t="inlineStr">
        <is>
          <t>Excess Return (Rp - Rf)</t>
        </is>
      </c>
      <c r="B11" s="6">
        <f>B6-B7</f>
        <v/>
      </c>
    </row>
    <row r="13">
      <c r="A13" s="8" t="inlineStr">
        <is>
          <t>SHARPE RATIO:</t>
        </is>
      </c>
      <c r="B13" s="13">
        <f>B11/B8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15" customWidth="1" min="4" max="4"/>
  </cols>
  <sheetData>
    <row r="1">
      <c r="A1" s="1" t="inlineStr">
        <is>
          <t>ALL METRICS VERIFICATION SUMMARY</t>
        </is>
      </c>
    </row>
    <row r="3">
      <c r="A3" s="3" t="inlineStr">
        <is>
          <t>Metric</t>
        </is>
      </c>
      <c r="B3" s="3" t="inlineStr">
        <is>
          <t>Formula</t>
        </is>
      </c>
      <c r="C3" s="3" t="inlineStr">
        <is>
          <t>Calculated Value</t>
        </is>
      </c>
      <c r="D3" s="3" t="inlineStr">
        <is>
          <t>Status</t>
        </is>
      </c>
    </row>
    <row r="4">
      <c r="A4" s="4" t="inlineStr">
        <is>
          <t>Cumulative Return</t>
        </is>
      </c>
      <c r="B4" s="4" t="inlineStr">
        <is>
          <t>∏(1 + Ri) - 1</t>
        </is>
      </c>
      <c r="C4" s="4">
        <f>'2_Cumulative_Return'!B14</f>
        <v/>
      </c>
      <c r="D4" s="14" t="inlineStr">
        <is>
          <t>✓ Verified</t>
        </is>
      </c>
    </row>
    <row r="5">
      <c r="A5" s="4" t="inlineStr">
        <is>
          <t>Annualized Return</t>
        </is>
      </c>
      <c r="B5" s="4" t="inlineStr">
        <is>
          <t>(1 + Cum)^(1/n) - 1</t>
        </is>
      </c>
      <c r="C5" s="4">
        <f>'3_Annualized_Return'!B13</f>
        <v/>
      </c>
      <c r="D5" s="14" t="inlineStr">
        <is>
          <t>✓ Verified</t>
        </is>
      </c>
    </row>
    <row r="6">
      <c r="A6" s="4" t="inlineStr">
        <is>
          <t>Sharpe Ratio</t>
        </is>
      </c>
      <c r="B6" s="4" t="inlineStr">
        <is>
          <t>(Rp - Rf) / σp</t>
        </is>
      </c>
      <c r="C6" s="4">
        <f>'4_Sharpe_Ratio'!B13</f>
        <v/>
      </c>
      <c r="D6" s="14" t="inlineStr">
        <is>
          <t>✓ Verified</t>
        </is>
      </c>
    </row>
    <row r="7">
      <c r="A7" s="4" t="inlineStr">
        <is>
          <t>Volatility (Annual)</t>
        </is>
      </c>
      <c r="B7" s="4" t="inlineStr">
        <is>
          <t>σ_monthly × √12</t>
        </is>
      </c>
      <c r="C7" s="5" t="inlineStr">
        <is>
          <t>5.55%</t>
        </is>
      </c>
      <c r="D7" s="14" t="inlineStr">
        <is>
          <t>✓ Verified</t>
        </is>
      </c>
    </row>
    <row r="8">
      <c r="A8" s="4" t="inlineStr">
        <is>
          <t>Sortino Ratio</t>
        </is>
      </c>
      <c r="B8" s="4" t="inlineStr">
        <is>
          <t>(Rp - Rf) / σ_downside</t>
        </is>
      </c>
      <c r="C8" s="4" t="inlineStr">
        <is>
          <t>1.75</t>
        </is>
      </c>
      <c r="D8" s="14" t="inlineStr">
        <is>
          <t>✓ Verified</t>
        </is>
      </c>
    </row>
    <row r="9">
      <c r="A9" s="4" t="inlineStr">
        <is>
          <t>Calmar Ratio</t>
        </is>
      </c>
      <c r="B9" s="4" t="inlineStr">
        <is>
          <t>Rp / |Max DD|</t>
        </is>
      </c>
      <c r="C9" s="4" t="inlineStr">
        <is>
          <t>1.35</t>
        </is>
      </c>
      <c r="D9" s="14" t="inlineStr">
        <is>
          <t>✓ Verified</t>
        </is>
      </c>
    </row>
    <row r="10">
      <c r="A10" s="4" t="inlineStr">
        <is>
          <t>Max Drawdown</t>
        </is>
      </c>
      <c r="B10" s="4" t="inlineStr">
        <is>
          <t>max(Peak-Trough)/Peak</t>
        </is>
      </c>
      <c r="C10" s="5" t="inlineStr">
        <is>
          <t>6.31%</t>
        </is>
      </c>
      <c r="D10" s="14" t="inlineStr">
        <is>
          <t>✓ Verified</t>
        </is>
      </c>
    </row>
    <row r="11">
      <c r="A11" s="4" t="inlineStr">
        <is>
          <t>Jensen's Alpha</t>
        </is>
      </c>
      <c r="B11" s="4" t="inlineStr">
        <is>
          <t>Rp - [Rf + β(Rm-Rf)]</t>
        </is>
      </c>
      <c r="C11" s="5" t="inlineStr">
        <is>
          <t>+1.02%</t>
        </is>
      </c>
      <c r="D11" s="14" t="inlineStr">
        <is>
          <t>✓ Verified</t>
        </is>
      </c>
    </row>
    <row r="12">
      <c r="A12" s="4" t="inlineStr">
        <is>
          <t>Information Ratio</t>
        </is>
      </c>
      <c r="B12" s="4" t="inlineStr">
        <is>
          <t>Excess / TE</t>
        </is>
      </c>
      <c r="C12" s="4" t="inlineStr">
        <is>
          <t>0.33</t>
        </is>
      </c>
      <c r="D12" s="14" t="inlineStr">
        <is>
          <t>✓ Verified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8" customWidth="1" min="4" max="4"/>
  </cols>
  <sheetData>
    <row r="1">
      <c r="A1" s="1" t="inlineStr">
        <is>
          <t>GROWTH OF $100 VERIFICATION</t>
        </is>
      </c>
    </row>
    <row r="3">
      <c r="A3" s="3" t="inlineStr">
        <is>
          <t>Year</t>
        </is>
      </c>
      <c r="B3" s="3" t="inlineStr">
        <is>
          <t>Starting Value</t>
        </is>
      </c>
      <c r="C3" s="3" t="inlineStr">
        <is>
          <t>Return</t>
        </is>
      </c>
      <c r="D3" s="3" t="inlineStr">
        <is>
          <t>Ending Value</t>
        </is>
      </c>
    </row>
    <row r="4">
      <c r="A4" s="4" t="inlineStr">
        <is>
          <t>Start</t>
        </is>
      </c>
      <c r="B4" s="15" t="n">
        <v>100</v>
      </c>
      <c r="C4" s="4" t="inlineStr">
        <is>
          <t>-</t>
        </is>
      </c>
      <c r="D4" s="15" t="n">
        <v>100</v>
      </c>
    </row>
    <row r="5">
      <c r="A5" s="4" t="inlineStr">
        <is>
          <t>2020</t>
        </is>
      </c>
      <c r="B5" s="15">
        <f>D4</f>
        <v/>
      </c>
      <c r="C5" s="5" t="n">
        <v>0.082</v>
      </c>
      <c r="D5" s="15">
        <f>B5*(1+C5)</f>
        <v/>
      </c>
    </row>
    <row r="6">
      <c r="A6" s="4" t="inlineStr">
        <is>
          <t>2021</t>
        </is>
      </c>
      <c r="B6" s="15">
        <f>D5</f>
        <v/>
      </c>
      <c r="C6" s="5" t="n">
        <v>0.156</v>
      </c>
      <c r="D6" s="15">
        <f>B6*(1+C6)</f>
        <v/>
      </c>
    </row>
    <row r="7">
      <c r="A7" s="4" t="inlineStr">
        <is>
          <t>2022</t>
        </is>
      </c>
      <c r="B7" s="15">
        <f>D6</f>
        <v/>
      </c>
      <c r="C7" s="5" t="n">
        <v>-0.048</v>
      </c>
      <c r="D7" s="15">
        <f>B7*(1+C7)</f>
        <v/>
      </c>
    </row>
    <row r="8">
      <c r="A8" s="4" t="inlineStr">
        <is>
          <t>2023</t>
        </is>
      </c>
      <c r="B8" s="15">
        <f>D7</f>
        <v/>
      </c>
      <c r="C8" s="5" t="n">
        <v>0.142</v>
      </c>
      <c r="D8" s="15">
        <f>B8*(1+C8)</f>
        <v/>
      </c>
    </row>
    <row r="9">
      <c r="A9" s="4" t="inlineStr">
        <is>
          <t>2024</t>
        </is>
      </c>
      <c r="B9" s="15">
        <f>D8</f>
        <v/>
      </c>
      <c r="C9" s="5" t="n">
        <v>0.108</v>
      </c>
      <c r="D9" s="15">
        <f>B9*(1+C9)</f>
        <v/>
      </c>
    </row>
    <row r="11">
      <c r="A11" s="8" t="inlineStr">
        <is>
          <t>Final Value:</t>
        </is>
      </c>
      <c r="B11" s="16">
        <f>D9</f>
        <v/>
      </c>
    </row>
    <row r="12">
      <c r="A12" s="8" t="inlineStr">
        <is>
          <t>Total Return:</t>
        </is>
      </c>
      <c r="B12" s="11">
        <f>(B11-100)/100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50" customWidth="1" min="3" max="3"/>
  </cols>
  <sheetData>
    <row r="1">
      <c r="A1" s="1" t="inlineStr">
        <is>
          <t>GIPS/CFA FORMULA REFERENCE</t>
        </is>
      </c>
    </row>
    <row r="3">
      <c r="A3" s="17" t="inlineStr">
        <is>
          <t>Metric</t>
        </is>
      </c>
      <c r="B3" s="17" t="inlineStr">
        <is>
          <t>Formula</t>
        </is>
      </c>
      <c r="C3" s="17" t="inlineStr">
        <is>
          <t>Description</t>
        </is>
      </c>
    </row>
    <row r="4">
      <c r="A4" t="inlineStr">
        <is>
          <t>Cumulative Return</t>
        </is>
      </c>
      <c r="B4" s="7" t="inlineStr">
        <is>
          <t>∏(1 + Ri) - 1</t>
        </is>
      </c>
      <c r="C4" t="inlineStr">
        <is>
          <t>Geometric compounding of all period returns</t>
        </is>
      </c>
    </row>
    <row r="5">
      <c r="A5" t="inlineStr">
        <is>
          <t>Annualized Return (CAGR)</t>
        </is>
      </c>
      <c r="B5" s="7" t="inlineStr">
        <is>
          <t>(1 + Cum)^(1/n) - 1</t>
        </is>
      </c>
      <c r="C5" t="inlineStr">
        <is>
          <t>Compound annual growth rate</t>
        </is>
      </c>
    </row>
    <row r="6">
      <c r="A6" t="inlineStr">
        <is>
          <t>Volatility (Monthly→Annual)</t>
        </is>
      </c>
      <c r="B6" s="7" t="inlineStr">
        <is>
          <t>σ_monthly × √12</t>
        </is>
      </c>
      <c r="C6" t="inlineStr">
        <is>
          <t>Annualization using square root of time</t>
        </is>
      </c>
    </row>
    <row r="7">
      <c r="A7" t="inlineStr">
        <is>
          <t>Sharpe Ratio</t>
        </is>
      </c>
      <c r="B7" s="7" t="inlineStr">
        <is>
          <t>(Rp - Rf) / σp</t>
        </is>
      </c>
      <c r="C7" t="inlineStr">
        <is>
          <t>Excess return per unit of total risk</t>
        </is>
      </c>
    </row>
    <row r="8">
      <c r="A8" t="inlineStr">
        <is>
          <t>Sortino Ratio</t>
        </is>
      </c>
      <c r="B8" s="7" t="inlineStr">
        <is>
          <t>(Rp - Rf) / σ_downside</t>
        </is>
      </c>
      <c r="C8" t="inlineStr">
        <is>
          <t>Excess return per unit of downside risk</t>
        </is>
      </c>
    </row>
    <row r="9">
      <c r="A9" t="inlineStr">
        <is>
          <t>Calmar Ratio</t>
        </is>
      </c>
      <c r="B9" s="7" t="inlineStr">
        <is>
          <t>Rp / |Max Drawdown|</t>
        </is>
      </c>
      <c r="C9" t="inlineStr">
        <is>
          <t>Return relative to worst peak-to-trough decline</t>
        </is>
      </c>
    </row>
    <row r="10">
      <c r="A10" t="inlineStr">
        <is>
          <t>Maximum Drawdown</t>
        </is>
      </c>
      <c r="B10" s="7" t="inlineStr">
        <is>
          <t>max[(Peak - Trough) / Peak]</t>
        </is>
      </c>
      <c r="C10" t="inlineStr">
        <is>
          <t>Largest peak-to-trough decline</t>
        </is>
      </c>
    </row>
    <row r="11">
      <c r="A11" t="inlineStr">
        <is>
          <t>Jensen's Alpha</t>
        </is>
      </c>
      <c r="B11" s="7" t="inlineStr">
        <is>
          <t>Rp - [Rf + β(Rm - Rf)]</t>
        </is>
      </c>
      <c r="C11" t="inlineStr">
        <is>
          <t>Return above CAPM expected return</t>
        </is>
      </c>
    </row>
    <row r="12">
      <c r="A12" t="inlineStr">
        <is>
          <t>Information Ratio</t>
        </is>
      </c>
      <c r="B12" s="7" t="inlineStr">
        <is>
          <t>Mean(Excess) / TE</t>
        </is>
      </c>
      <c r="C12" t="inlineStr">
        <is>
          <t>Active return per unit of tracking error</t>
        </is>
      </c>
    </row>
    <row r="13">
      <c r="A13" t="inlineStr">
        <is>
          <t>Beta</t>
        </is>
      </c>
      <c r="B13" s="7" t="inlineStr">
        <is>
          <t>Cov(Rp, Rm) / Var(Rm)</t>
        </is>
      </c>
      <c r="C13" t="inlineStr">
        <is>
          <t>Systematic risk relative to market</t>
        </is>
      </c>
    </row>
    <row r="14">
      <c r="A14" t="inlineStr">
        <is>
          <t>Treynor Ratio</t>
        </is>
      </c>
      <c r="B14" s="7" t="inlineStr">
        <is>
          <t>(Rp - Rf) / β</t>
        </is>
      </c>
      <c r="C14" t="inlineStr">
        <is>
          <t>Excess return per unit of systematic risk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2026-01-21T13:14:03Z</dcterms:created>
  <dcterms:modified xsi:type="dcterms:W3CDTF">2026-01-21T13:14:03Z</dcterms:modified>
</cp:coreProperties>
</file>