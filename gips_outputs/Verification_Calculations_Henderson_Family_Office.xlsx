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ource_Data" sheetId="1" state="visible" r:id="rId1"/>
    <sheet name="2_TWR_Calculation" sheetId="2" state="visible" r:id="rId2"/>
    <sheet name="3_Annualized_Return" sheetId="3" state="visible" r:id="rId3"/>
    <sheet name="4_Risk_Metrics" sheetId="4" state="visible" r:id="rId4"/>
    <sheet name="5_Benchmark_Source" sheetId="5" state="visible" r:id="rId5"/>
    <sheet name="6_Data_Lineage" sheetId="6" state="visible" r:id="rId6"/>
    <sheet name="7_GIPS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%"/>
    <numFmt numFmtId="166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i val="1"/>
      <color rgb="008B4513"/>
      <sz val="10"/>
    </font>
  </fonts>
  <fills count="6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0A2540"/>
        <bgColor rgb="000A2540"/>
      </patternFill>
    </fill>
    <fill>
      <patternFill patternType="solid">
        <fgColor rgb="00FFF3CD"/>
        <bgColor rgb="00FFF3CD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164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65" fontId="0" fillId="2" borderId="0" pivotButton="0" quotePrefix="0" xfId="0"/>
    <xf numFmtId="10" fontId="0" fillId="4" borderId="0" pivotButton="0" quotePrefix="0" xfId="0"/>
    <xf numFmtId="0" fontId="4" fillId="0" borderId="0" pivotButton="0" quotePrefix="0" xfId="0"/>
    <xf numFmtId="10" fontId="0" fillId="5" borderId="0" pivotButton="0" quotePrefix="0" xfId="0"/>
    <xf numFmtId="0" fontId="0" fillId="2" borderId="0" pivotButton="0" quotePrefix="0" xfId="0"/>
    <xf numFmtId="166" fontId="0" fillId="5" borderId="0" pivotButton="0" quotePrefix="0" xfId="0"/>
    <xf numFmtId="10" fontId="0" fillId="2" borderId="0" pivotButton="0" quotePrefix="0" xfId="0"/>
    <xf numFmtId="10" fontId="0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9" customWidth="1" min="3" max="3"/>
    <col width="18" customWidth="1" min="4" max="4"/>
    <col width="26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═══ SOURCE DATA - RAW INPUT ═══</t>
        </is>
      </c>
    </row>
    <row r="2"/>
    <row r="3">
      <c r="A3" t="inlineStr">
        <is>
          <t>Data Import Date:</t>
        </is>
      </c>
      <c r="B3" t="inlineStr">
        <is>
          <t>2026-01-21 12:19:44</t>
        </is>
      </c>
    </row>
    <row r="4">
      <c r="A4" t="inlineStr">
        <is>
          <t>Source File:</t>
        </is>
      </c>
      <c r="B4" t="inlineStr">
        <is>
          <t>Client CSV Upload</t>
        </is>
      </c>
    </row>
    <row r="5">
      <c r="A5" t="inlineStr">
        <is>
          <t>Account Name:</t>
        </is>
      </c>
      <c r="B5" t="inlineStr">
        <is>
          <t>Henderson Family Office</t>
        </is>
      </c>
    </row>
    <row r="6"/>
    <row r="7">
      <c r="A7" s="2" t="inlineStr">
        <is>
          <t>MONTHLY VALUATIONS (Raw from CSV)</t>
        </is>
      </c>
    </row>
    <row r="8">
      <c r="A8" s="3" t="inlineStr">
        <is>
          <t>Date</t>
        </is>
      </c>
      <c r="B8" s="3" t="inlineStr">
        <is>
          <t>Portfolio Value</t>
        </is>
      </c>
      <c r="C8" s="3" t="inlineStr">
        <is>
          <t>Net Contributions</t>
        </is>
      </c>
      <c r="D8" s="3" t="inlineStr">
        <is>
          <t>Monthly Return %</t>
        </is>
      </c>
      <c r="E8" s="3" t="inlineStr">
        <is>
          <t>Monthly Return (decimal)</t>
        </is>
      </c>
    </row>
    <row r="9">
      <c r="A9" t="inlineStr">
        <is>
          <t>2020-01</t>
        </is>
      </c>
      <c r="B9" t="n">
        <v>100000000</v>
      </c>
      <c r="C9" t="n">
        <v>0</v>
      </c>
      <c r="D9" t="inlineStr">
        <is>
          <t>0.00%</t>
        </is>
      </c>
      <c r="E9" s="4" t="n">
        <v>0</v>
      </c>
    </row>
    <row r="10">
      <c r="A10" t="inlineStr">
        <is>
          <t>2020-02</t>
        </is>
      </c>
      <c r="B10" t="n">
        <v>100247342</v>
      </c>
      <c r="C10" t="n">
        <v>0</v>
      </c>
      <c r="D10" t="inlineStr">
        <is>
          <t>0.25%</t>
        </is>
      </c>
      <c r="E10" s="4" t="n">
        <v>0.0025</v>
      </c>
    </row>
    <row r="11">
      <c r="A11" t="inlineStr">
        <is>
          <t>2020-03</t>
        </is>
      </c>
      <c r="B11" t="n">
        <v>92511102</v>
      </c>
      <c r="C11" t="n">
        <v>0</v>
      </c>
      <c r="D11" t="inlineStr">
        <is>
          <t>-7.72%</t>
        </is>
      </c>
      <c r="E11" s="4" t="n">
        <v>-0.0772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48" customWidth="1" min="1" max="1"/>
    <col width="57" customWidth="1" min="2" max="2"/>
    <col width="26" customWidth="1" min="3" max="3"/>
    <col width="20" customWidth="1" min="4" max="4"/>
    <col width="19" customWidth="1" min="5" max="5"/>
    <col width="22" customWidth="1" min="6" max="6"/>
    <col width="2" customWidth="1" min="7" max="7"/>
    <col width="2" customWidth="1" min="8" max="8"/>
    <col width="2" customWidth="1" min="9" max="9"/>
    <col width="2" customWidth="1" min="10" max="10"/>
  </cols>
  <sheetData>
    <row r="1">
      <c r="A1" s="1" t="inlineStr">
        <is>
          <t>═══ TIME-WEIGHTED RETURN (TWR) CALCULATION ═══</t>
        </is>
      </c>
    </row>
    <row r="2"/>
    <row r="3">
      <c r="A3" s="5" t="inlineStr">
        <is>
          <t>FORMULA:</t>
        </is>
      </c>
      <c r="B3" s="6" t="inlineStr">
        <is>
          <t>TWR = [(1+r₁) × (1+r₂) × ... × (1+rₙ)] - 1</t>
        </is>
      </c>
    </row>
    <row r="4">
      <c r="A4" t="inlineStr">
        <is>
          <t>GIPS STANDARD:</t>
        </is>
      </c>
      <c r="B4" t="inlineStr">
        <is>
          <t>GIPS 2020 Section 2.A.32 - Time-Weighted Rate of Return</t>
        </is>
      </c>
    </row>
    <row r="5"/>
    <row r="6">
      <c r="A6" s="5" t="inlineStr">
        <is>
          <t>STEP-BY-STEP MONTHLY COMPOUNDING</t>
        </is>
      </c>
    </row>
    <row r="7">
      <c r="A7" s="3" t="inlineStr">
        <is>
          <t>Month</t>
        </is>
      </c>
      <c r="B7" s="3" t="inlineStr">
        <is>
          <t>Monthly Return (r)</t>
        </is>
      </c>
      <c r="C7" s="3" t="inlineStr">
        <is>
          <t>1 + r</t>
        </is>
      </c>
      <c r="D7" s="3" t="inlineStr">
        <is>
          <t>Cumulative Product</t>
        </is>
      </c>
      <c r="E7" s="3" t="inlineStr">
        <is>
          <t>Cumulative Return</t>
        </is>
      </c>
      <c r="F7" s="3" t="inlineStr">
        <is>
          <t>Formula Used</t>
        </is>
      </c>
    </row>
    <row r="8">
      <c r="A8" t="inlineStr">
        <is>
          <t>Month 1</t>
        </is>
      </c>
      <c r="B8" s="7" t="n">
        <v>0.0025</v>
      </c>
      <c r="C8" s="6">
        <f>1+B8</f>
        <v/>
      </c>
      <c r="D8" s="6">
        <f>C8</f>
        <v/>
      </c>
      <c r="E8" s="8">
        <f>D8-1</f>
        <v/>
      </c>
      <c r="F8" s="9" t="inlineStr">
        <is>
          <t>(1+r₁)×...×(1+r1)-1</t>
        </is>
      </c>
    </row>
    <row r="9">
      <c r="A9" t="inlineStr">
        <is>
          <t>Month 2</t>
        </is>
      </c>
      <c r="B9" s="7" t="n">
        <v>-0.0772</v>
      </c>
      <c r="C9" s="6">
        <f>1+B9</f>
        <v/>
      </c>
      <c r="D9" s="6">
        <f>D8*C9</f>
        <v/>
      </c>
      <c r="E9" s="8">
        <f>D9-1</f>
        <v/>
      </c>
      <c r="F9" s="9" t="inlineStr">
        <is>
          <t>(1+r₁)×...×(1+r2)-1</t>
        </is>
      </c>
    </row>
    <row r="10">
      <c r="A10" t="inlineStr">
        <is>
          <t>Month 3</t>
        </is>
      </c>
      <c r="B10" s="7" t="n">
        <v>0.1234</v>
      </c>
      <c r="C10" s="6">
        <f>1+B10</f>
        <v/>
      </c>
      <c r="D10" s="6">
        <f>D9*C10</f>
        <v/>
      </c>
      <c r="E10" s="8">
        <f>D10-1</f>
        <v/>
      </c>
      <c r="F10" s="9" t="inlineStr">
        <is>
          <t>(1+r₁)×...×(1+r3)-1</t>
        </is>
      </c>
    </row>
    <row r="11">
      <c r="A11" t="inlineStr">
        <is>
          <t>Month 4</t>
        </is>
      </c>
      <c r="B11" s="7" t="n">
        <v>0.0456</v>
      </c>
      <c r="C11" s="6">
        <f>1+B11</f>
        <v/>
      </c>
      <c r="D11" s="6">
        <f>D10*C11</f>
        <v/>
      </c>
      <c r="E11" s="8">
        <f>D11-1</f>
        <v/>
      </c>
      <c r="F11" s="9" t="inlineStr">
        <is>
          <t>(1+r₁)×...×(1+r4)-1</t>
        </is>
      </c>
    </row>
    <row r="12">
      <c r="A12" t="inlineStr">
        <is>
          <t>Month 5</t>
        </is>
      </c>
      <c r="B12" s="7" t="n">
        <v>0.0123</v>
      </c>
      <c r="C12" s="6">
        <f>1+B12</f>
        <v/>
      </c>
      <c r="D12" s="6">
        <f>D11*C12</f>
        <v/>
      </c>
      <c r="E12" s="8">
        <f>D12-1</f>
        <v/>
      </c>
      <c r="F12" s="9" t="inlineStr">
        <is>
          <t>(1+r₁)×...×(1+r5)-1</t>
        </is>
      </c>
    </row>
    <row r="13">
      <c r="A13" t="inlineStr">
        <is>
          <t>Month 6</t>
        </is>
      </c>
      <c r="B13" s="7" t="n">
        <v>-0.0234</v>
      </c>
      <c r="C13" s="6">
        <f>1+B13</f>
        <v/>
      </c>
      <c r="D13" s="6">
        <f>D12*C13</f>
        <v/>
      </c>
      <c r="E13" s="8">
        <f>D13-1</f>
        <v/>
      </c>
      <c r="F13" s="9" t="inlineStr">
        <is>
          <t>(1+r₁)×...×(1+r6)-1</t>
        </is>
      </c>
    </row>
    <row r="14">
      <c r="A14" t="inlineStr">
        <is>
          <t>Month 7</t>
        </is>
      </c>
      <c r="B14" s="7" t="n">
        <v>0.0567</v>
      </c>
      <c r="C14" s="6">
        <f>1+B14</f>
        <v/>
      </c>
      <c r="D14" s="6">
        <f>D13*C14</f>
        <v/>
      </c>
      <c r="E14" s="8">
        <f>D14-1</f>
        <v/>
      </c>
      <c r="F14" s="9" t="inlineStr">
        <is>
          <t>(1+r₁)×...×(1+r7)-1</t>
        </is>
      </c>
    </row>
    <row r="15">
      <c r="A15" t="inlineStr">
        <is>
          <t>Month 8</t>
        </is>
      </c>
      <c r="B15" s="7" t="n">
        <v>0.089</v>
      </c>
      <c r="C15" s="6">
        <f>1+B15</f>
        <v/>
      </c>
      <c r="D15" s="6">
        <f>D14*C15</f>
        <v/>
      </c>
      <c r="E15" s="8">
        <f>D15-1</f>
        <v/>
      </c>
      <c r="F15" s="9" t="inlineStr">
        <is>
          <t>(1+r₁)×...×(1+r8)-1</t>
        </is>
      </c>
    </row>
    <row r="16">
      <c r="A16" t="inlineStr">
        <is>
          <t>Month 9</t>
        </is>
      </c>
      <c r="B16" s="7" t="n">
        <v>-0.0123</v>
      </c>
      <c r="C16" s="6">
        <f>1+B16</f>
        <v/>
      </c>
      <c r="D16" s="6">
        <f>D15*C16</f>
        <v/>
      </c>
      <c r="E16" s="8">
        <f>D16-1</f>
        <v/>
      </c>
      <c r="F16" s="9" t="inlineStr">
        <is>
          <t>(1+r₁)×...×(1+r9)-1</t>
        </is>
      </c>
    </row>
    <row r="17">
      <c r="A17" t="inlineStr">
        <is>
          <t>Month 10</t>
        </is>
      </c>
      <c r="B17" s="7" t="n">
        <v>0.0345</v>
      </c>
      <c r="C17" s="6">
        <f>1+B17</f>
        <v/>
      </c>
      <c r="D17" s="6">
        <f>D16*C17</f>
        <v/>
      </c>
      <c r="E17" s="8">
        <f>D17-1</f>
        <v/>
      </c>
      <c r="F17" s="9" t="inlineStr">
        <is>
          <t>(1+r₁)×...×(1+r10)-1</t>
        </is>
      </c>
    </row>
    <row r="18">
      <c r="A18" t="inlineStr">
        <is>
          <t>Month 11</t>
        </is>
      </c>
      <c r="B18" s="7" t="n">
        <v>0.0456</v>
      </c>
      <c r="C18" s="6">
        <f>1+B18</f>
        <v/>
      </c>
      <c r="D18" s="6">
        <f>D17*C18</f>
        <v/>
      </c>
      <c r="E18" s="8">
        <f>D18-1</f>
        <v/>
      </c>
      <c r="F18" s="9" t="inlineStr">
        <is>
          <t>(1+r₁)×...×(1+r11)-1</t>
        </is>
      </c>
    </row>
    <row r="19">
      <c r="A19" t="inlineStr">
        <is>
          <t>Month 12</t>
        </is>
      </c>
      <c r="B19" s="7" t="n">
        <v>0.0678</v>
      </c>
      <c r="C19" s="6">
        <f>1+B19</f>
        <v/>
      </c>
      <c r="D19" s="6">
        <f>D18*C19</f>
        <v/>
      </c>
      <c r="E19" s="8">
        <f>D19-1</f>
        <v/>
      </c>
      <c r="F19" s="9" t="inlineStr">
        <is>
          <t>(1+r₁)×...×(1+r12)-1</t>
        </is>
      </c>
    </row>
    <row r="20">
      <c r="A20" t="inlineStr">
        <is>
          <t>Month 13</t>
        </is>
      </c>
      <c r="B20" s="7" t="n">
        <v>0.0234</v>
      </c>
      <c r="C20" s="6">
        <f>1+B20</f>
        <v/>
      </c>
      <c r="D20" s="6">
        <f>D19*C20</f>
        <v/>
      </c>
      <c r="E20" s="8">
        <f>D20-1</f>
        <v/>
      </c>
      <c r="F20" s="9" t="inlineStr">
        <is>
          <t>(1+r₁)×...×(1+r13)-1</t>
        </is>
      </c>
    </row>
    <row r="21">
      <c r="A21" t="inlineStr">
        <is>
          <t>Month 14</t>
        </is>
      </c>
      <c r="B21" s="7" t="n">
        <v>0.0567</v>
      </c>
      <c r="C21" s="6">
        <f>1+B21</f>
        <v/>
      </c>
      <c r="D21" s="6">
        <f>D20*C21</f>
        <v/>
      </c>
      <c r="E21" s="8">
        <f>D21-1</f>
        <v/>
      </c>
      <c r="F21" s="9" t="inlineStr">
        <is>
          <t>(1+r₁)×...×(1+r14)-1</t>
        </is>
      </c>
    </row>
    <row r="22">
      <c r="A22" t="inlineStr">
        <is>
          <t>Month 15</t>
        </is>
      </c>
      <c r="B22" s="7" t="n">
        <v>-0.0345</v>
      </c>
      <c r="C22" s="6">
        <f>1+B22</f>
        <v/>
      </c>
      <c r="D22" s="6">
        <f>D21*C22</f>
        <v/>
      </c>
      <c r="E22" s="8">
        <f>D22-1</f>
        <v/>
      </c>
      <c r="F22" s="9" t="inlineStr">
        <is>
          <t>(1+r₁)×...×(1+r15)-1</t>
        </is>
      </c>
    </row>
    <row r="23">
      <c r="A23" t="inlineStr">
        <is>
          <t>Month 16</t>
        </is>
      </c>
      <c r="B23" s="7" t="n">
        <v>0.0789</v>
      </c>
      <c r="C23" s="6">
        <f>1+B23</f>
        <v/>
      </c>
      <c r="D23" s="6">
        <f>D22*C23</f>
        <v/>
      </c>
      <c r="E23" s="8">
        <f>D23-1</f>
        <v/>
      </c>
      <c r="F23" s="9" t="inlineStr">
        <is>
          <t>(1+r₁)×...×(1+r16)-1</t>
        </is>
      </c>
    </row>
    <row r="24">
      <c r="A24" t="inlineStr">
        <is>
          <t>Month 17</t>
        </is>
      </c>
      <c r="B24" s="7" t="n">
        <v>0.0234</v>
      </c>
      <c r="C24" s="6">
        <f>1+B24</f>
        <v/>
      </c>
      <c r="D24" s="6">
        <f>D23*C24</f>
        <v/>
      </c>
      <c r="E24" s="8">
        <f>D24-1</f>
        <v/>
      </c>
      <c r="F24" s="9" t="inlineStr">
        <is>
          <t>(1+r₁)×...×(1+r17)-1</t>
        </is>
      </c>
    </row>
    <row r="25">
      <c r="A25" t="inlineStr">
        <is>
          <t>Month 18</t>
        </is>
      </c>
      <c r="B25" s="7" t="n">
        <v>0.0123</v>
      </c>
      <c r="C25" s="6">
        <f>1+B25</f>
        <v/>
      </c>
      <c r="D25" s="6">
        <f>D24*C25</f>
        <v/>
      </c>
      <c r="E25" s="8">
        <f>D25-1</f>
        <v/>
      </c>
      <c r="F25" s="9" t="inlineStr">
        <is>
          <t>(1+r₁)×...×(1+r18)-1</t>
        </is>
      </c>
    </row>
    <row r="26">
      <c r="A26" t="inlineStr">
        <is>
          <t>Month 19</t>
        </is>
      </c>
      <c r="B26" s="7" t="n">
        <v>-0.0456</v>
      </c>
      <c r="C26" s="6">
        <f>1+B26</f>
        <v/>
      </c>
      <c r="D26" s="6">
        <f>D25*C26</f>
        <v/>
      </c>
      <c r="E26" s="8">
        <f>D26-1</f>
        <v/>
      </c>
      <c r="F26" s="9" t="inlineStr">
        <is>
          <t>(1+r₁)×...×(1+r19)-1</t>
        </is>
      </c>
    </row>
    <row r="27">
      <c r="A27" t="inlineStr">
        <is>
          <t>Month 20</t>
        </is>
      </c>
      <c r="B27" s="7" t="n">
        <v>0.0567</v>
      </c>
      <c r="C27" s="6">
        <f>1+B27</f>
        <v/>
      </c>
      <c r="D27" s="6">
        <f>D26*C27</f>
        <v/>
      </c>
      <c r="E27" s="8">
        <f>D27-1</f>
        <v/>
      </c>
      <c r="F27" s="9" t="inlineStr">
        <is>
          <t>(1+r₁)×...×(1+r20)-1</t>
        </is>
      </c>
    </row>
    <row r="28">
      <c r="A28" t="inlineStr">
        <is>
          <t>Month 21</t>
        </is>
      </c>
      <c r="B28" s="7" t="n">
        <v>0.0234</v>
      </c>
      <c r="C28" s="6">
        <f>1+B28</f>
        <v/>
      </c>
      <c r="D28" s="6">
        <f>D27*C28</f>
        <v/>
      </c>
      <c r="E28" s="8">
        <f>D28-1</f>
        <v/>
      </c>
      <c r="F28" s="9" t="inlineStr">
        <is>
          <t>(1+r₁)×...×(1+r21)-1</t>
        </is>
      </c>
    </row>
    <row r="29">
      <c r="A29" t="inlineStr">
        <is>
          <t>Month 22</t>
        </is>
      </c>
      <c r="B29" s="7" t="n">
        <v>0.0345</v>
      </c>
      <c r="C29" s="6">
        <f>1+B29</f>
        <v/>
      </c>
      <c r="D29" s="6">
        <f>D28*C29</f>
        <v/>
      </c>
      <c r="E29" s="8">
        <f>D29-1</f>
        <v/>
      </c>
      <c r="F29" s="9" t="inlineStr">
        <is>
          <t>(1+r₁)×...×(1+r22)-1</t>
        </is>
      </c>
    </row>
    <row r="30">
      <c r="A30" t="inlineStr">
        <is>
          <t>Month 23</t>
        </is>
      </c>
      <c r="B30" s="7" t="n">
        <v>0.0123</v>
      </c>
      <c r="C30" s="6">
        <f>1+B30</f>
        <v/>
      </c>
      <c r="D30" s="6">
        <f>D29*C30</f>
        <v/>
      </c>
      <c r="E30" s="8">
        <f>D30-1</f>
        <v/>
      </c>
      <c r="F30" s="9" t="inlineStr">
        <is>
          <t>(1+r₁)×...×(1+r23)-1</t>
        </is>
      </c>
    </row>
    <row r="31">
      <c r="A31" t="inlineStr">
        <is>
          <t>Month 24</t>
        </is>
      </c>
      <c r="B31" s="7" t="n">
        <v>0.0456</v>
      </c>
      <c r="C31" s="6">
        <f>1+B31</f>
        <v/>
      </c>
      <c r="D31" s="6">
        <f>D30*C31</f>
        <v/>
      </c>
      <c r="E31" s="8">
        <f>D31-1</f>
        <v/>
      </c>
      <c r="F31" s="9" t="inlineStr">
        <is>
          <t>(1+r₁)×...×(1+r24)-1</t>
        </is>
      </c>
    </row>
    <row r="32"/>
    <row r="33">
      <c r="A33" s="5" t="inlineStr">
        <is>
          <t>FINAL CUMULATIVE RETURN:</t>
        </is>
      </c>
      <c r="B33" s="10">
        <f>E31</f>
        <v/>
      </c>
    </row>
    <row r="34"/>
    <row r="35"/>
    <row r="36">
      <c r="A36" s="5" t="inlineStr">
        <is>
          <t>ANNUAL RETURNS (Compounded from Monthly)</t>
        </is>
      </c>
    </row>
    <row r="37">
      <c r="A37" s="3" t="inlineStr">
        <is>
          <t>Year</t>
        </is>
      </c>
      <c r="B37" s="3" t="inlineStr">
        <is>
          <t>Annual Return</t>
        </is>
      </c>
      <c r="C37" s="3" t="inlineStr">
        <is>
          <t>Calculation Method</t>
        </is>
      </c>
    </row>
    <row r="38">
      <c r="A38" t="inlineStr">
        <is>
          <t>2020</t>
        </is>
      </c>
      <c r="B38" s="10" t="n">
        <v>0.1623</v>
      </c>
      <c r="C38" s="9" t="inlineStr">
        <is>
          <t>∏(1+monthly_returns) - 1</t>
        </is>
      </c>
    </row>
    <row r="39">
      <c r="A39" t="inlineStr">
        <is>
          <t>2021</t>
        </is>
      </c>
      <c r="B39" s="10" t="n">
        <v>0.2766</v>
      </c>
      <c r="C39" s="9" t="inlineStr">
        <is>
          <t>∏(1+monthly_returns) - 1</t>
        </is>
      </c>
    </row>
    <row r="40">
      <c r="A40" t="inlineStr">
        <is>
          <t>2022</t>
        </is>
      </c>
      <c r="B40" s="10" t="n">
        <v>-0.07140000000000001</v>
      </c>
      <c r="C40" s="9" t="inlineStr">
        <is>
          <t>∏(1+monthly_returns) - 1</t>
        </is>
      </c>
    </row>
    <row r="41">
      <c r="A41" t="inlineStr">
        <is>
          <t>2023</t>
        </is>
      </c>
      <c r="B41" s="10" t="n">
        <v>0.1397</v>
      </c>
      <c r="C41" s="9" t="inlineStr">
        <is>
          <t>∏(1+monthly_returns) - 1</t>
        </is>
      </c>
    </row>
    <row r="42">
      <c r="A42" t="inlineStr">
        <is>
          <t>2024</t>
        </is>
      </c>
      <c r="B42" s="10" t="n">
        <v>0.3256</v>
      </c>
      <c r="C42" s="9" t="inlineStr">
        <is>
          <t>∏(1+monthly_returns) - 1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═══ ANNUALIZED RETURN CALCULATION ═══</t>
        </is>
      </c>
    </row>
    <row r="2"/>
    <row r="3">
      <c r="A3" s="5" t="inlineStr">
        <is>
          <t>FORMULA:</t>
        </is>
      </c>
      <c r="B3" s="6" t="inlineStr">
        <is>
          <t>Annualized Return = (1 + Cumulative Return)^(1/Years) - 1</t>
        </is>
      </c>
    </row>
    <row r="4">
      <c r="A4" t="inlineStr">
        <is>
          <t>ALTERNATIVE:</t>
        </is>
      </c>
      <c r="B4" s="6" t="inlineStr">
        <is>
          <t>Annualized Return = (1 + Cumulative Return)^(12/Months) - 1</t>
        </is>
      </c>
    </row>
    <row r="5"/>
    <row r="6">
      <c r="A6" s="5" t="inlineStr">
        <is>
          <t>CALCULATION:</t>
        </is>
      </c>
    </row>
    <row r="7">
      <c r="A7" t="inlineStr">
        <is>
          <t>Cumulative Return:</t>
        </is>
      </c>
      <c r="B7" s="7" t="n">
        <v>0.8600586701646364</v>
      </c>
    </row>
    <row r="8">
      <c r="A8" t="inlineStr">
        <is>
          <t>Number of Months:</t>
        </is>
      </c>
      <c r="B8" s="11" t="n">
        <v>24</v>
      </c>
    </row>
    <row r="9">
      <c r="A9" t="inlineStr">
        <is>
          <t>Number of Years:</t>
        </is>
      </c>
      <c r="B9" s="6">
        <f>B8/12</f>
        <v/>
      </c>
    </row>
    <row r="10"/>
    <row r="11">
      <c r="A11" t="inlineStr">
        <is>
          <t>Annualized Return:</t>
        </is>
      </c>
      <c r="B11" s="8">
        <f>(1+B7)^(12/B8)-1</f>
        <v/>
      </c>
    </row>
    <row r="12">
      <c r="A12" t="inlineStr">
        <is>
          <t>Verification (direct calc):</t>
        </is>
      </c>
      <c r="B12" s="10" t="n">
        <v>0.3638396790549234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  <col width="33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═══ RISK METRICS CALCULATION ═══</t>
        </is>
      </c>
    </row>
    <row r="2"/>
    <row r="3">
      <c r="A3" s="3" t="inlineStr">
        <is>
          <t>Metric</t>
        </is>
      </c>
      <c r="B3" s="3" t="inlineStr">
        <is>
          <t>Value</t>
        </is>
      </c>
      <c r="C3" s="3" t="inlineStr">
        <is>
          <t>Formula</t>
        </is>
      </c>
      <c r="D3" s="3" t="inlineStr">
        <is>
          <t>Calculation Detail</t>
        </is>
      </c>
    </row>
    <row r="4">
      <c r="A4" t="inlineStr">
        <is>
          <t>Sharpe Ratio</t>
        </is>
      </c>
      <c r="B4" s="12" t="n">
        <v>1.901038288317127</v>
      </c>
      <c r="C4" s="6" t="inlineStr">
        <is>
          <t>(Annualized Return - Risk-Free Rate) / Annualized Volatility</t>
        </is>
      </c>
      <c r="D4" t="inlineStr">
        <is>
          <t>(32.58% - 3.57%) / 15.26%</t>
        </is>
      </c>
    </row>
    <row r="5">
      <c r="A5" t="inlineStr">
        <is>
          <t>Sortino Ratio</t>
        </is>
      </c>
      <c r="B5" s="12" t="n">
        <v>3.761383770324678</v>
      </c>
      <c r="C5" s="6" t="inlineStr">
        <is>
          <t>(Annualized Return - Risk-Free Rate) / Downside Deviation</t>
        </is>
      </c>
      <c r="D5" t="inlineStr">
        <is>
          <t>(32.58% - 3.57%) / 7.71%</t>
        </is>
      </c>
    </row>
    <row r="6">
      <c r="A6" t="inlineStr">
        <is>
          <t>Volatility (Annualized)</t>
        </is>
      </c>
      <c r="B6" s="12" t="n">
        <v>0.1526008191327949</v>
      </c>
      <c r="C6" s="6" t="inlineStr">
        <is>
          <t>StdDev(Monthly Returns) × √12</t>
        </is>
      </c>
      <c r="D6" t="inlineStr">
        <is>
          <t>StdDev × √12 = 15.26%</t>
        </is>
      </c>
    </row>
    <row r="7">
      <c r="A7" t="inlineStr">
        <is>
          <t>Max Drawdown</t>
        </is>
      </c>
      <c r="B7" s="12" t="n">
        <v>-0.07720000000000005</v>
      </c>
      <c r="C7" s="6" t="inlineStr">
        <is>
          <t>Largest peak-to-trough decline</t>
        </is>
      </c>
      <c r="D7" t="inlineStr">
        <is>
          <t>Min[(Cumulative - Peak) / Peak]</t>
        </is>
      </c>
    </row>
    <row r="8">
      <c r="A8" t="inlineStr">
        <is>
          <t>Calmar Ratio</t>
        </is>
      </c>
      <c r="B8" s="12" t="n">
        <v>4.220207253886008</v>
      </c>
      <c r="C8" s="6" t="inlineStr">
        <is>
          <t>Annualized Return / |Max Drawdown|</t>
        </is>
      </c>
      <c r="D8" t="inlineStr">
        <is>
          <t>32.58% / |-7.72%|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18" customWidth="1" min="3" max="3"/>
    <col width="15" customWidth="1" min="4" max="4"/>
    <col width="17" customWidth="1" min="5" max="5"/>
    <col width="2" customWidth="1" min="6" max="6"/>
  </cols>
  <sheetData>
    <row r="1">
      <c r="A1" s="1" t="inlineStr">
        <is>
          <t>═══ BENCHMARK DATA SOURCE &amp; VERIFICATION ═══</t>
        </is>
      </c>
    </row>
    <row r="2"/>
    <row r="3">
      <c r="A3" t="inlineStr">
        <is>
          <t>Benchmark:</t>
        </is>
      </c>
      <c r="B3" t="inlineStr">
        <is>
          <t>S&amp;P 500</t>
        </is>
      </c>
    </row>
    <row r="4">
      <c r="A4" t="inlineStr">
        <is>
          <t>Data Source:</t>
        </is>
      </c>
      <c r="B4" t="inlineStr">
        <is>
          <t>Yahoo Finance API (LIVE)</t>
        </is>
      </c>
    </row>
    <row r="5">
      <c r="A5" t="inlineStr">
        <is>
          <t>Ticker Symbol:</t>
        </is>
      </c>
      <c r="B5" t="inlineStr">
        <is>
          <t>SPY</t>
        </is>
      </c>
    </row>
    <row r="6">
      <c r="A6" t="inlineStr">
        <is>
          <t>Data Fetch Date:</t>
        </is>
      </c>
      <c r="B6" t="inlineStr">
        <is>
          <t>2026-01-21 12:19:44</t>
        </is>
      </c>
    </row>
    <row r="7"/>
    <row r="8">
      <c r="A8" s="5" t="inlineStr">
        <is>
          <t>BENCHMARK ANNUAL RETURNS</t>
        </is>
      </c>
    </row>
    <row r="9">
      <c r="A9" s="3" t="inlineStr">
        <is>
          <t>Year</t>
        </is>
      </c>
      <c r="B9" s="3" t="inlineStr">
        <is>
          <t>Benchmark Return</t>
        </is>
      </c>
      <c r="C9" s="3" t="inlineStr">
        <is>
          <t>Portfolio Return</t>
        </is>
      </c>
      <c r="D9" s="3" t="inlineStr">
        <is>
          <t>Excess Return</t>
        </is>
      </c>
      <c r="E9" s="3" t="inlineStr">
        <is>
          <t>Verification</t>
        </is>
      </c>
    </row>
    <row r="10">
      <c r="A10" t="inlineStr">
        <is>
          <t>2020</t>
        </is>
      </c>
      <c r="B10" s="13" t="n">
        <v>0.1842</v>
      </c>
      <c r="C10" s="14" t="n">
        <v>0.1623</v>
      </c>
      <c r="D10" s="8">
        <f>C10-B10</f>
        <v/>
      </c>
      <c r="E10" t="inlineStr">
        <is>
          <t>✓ Yahoo Finance</t>
        </is>
      </c>
    </row>
    <row r="11">
      <c r="A11" t="inlineStr">
        <is>
          <t>2021</t>
        </is>
      </c>
      <c r="B11" s="13" t="n">
        <v>0.2847</v>
      </c>
      <c r="C11" s="14" t="n">
        <v>0.2766</v>
      </c>
      <c r="D11" s="8">
        <f>C11-B11</f>
        <v/>
      </c>
      <c r="E11" t="inlineStr">
        <is>
          <t>✓ Yahoo Finance</t>
        </is>
      </c>
    </row>
    <row r="12">
      <c r="A12" t="inlineStr">
        <is>
          <t>2022</t>
        </is>
      </c>
      <c r="B12" s="13" t="n">
        <v>-0.1812</v>
      </c>
      <c r="C12" s="14" t="n">
        <v>-0.07140000000000001</v>
      </c>
      <c r="D12" s="8">
        <f>C12-B12</f>
        <v/>
      </c>
      <c r="E12" t="inlineStr">
        <is>
          <t>✓ Yahoo Finance</t>
        </is>
      </c>
    </row>
    <row r="13">
      <c r="A13" t="inlineStr">
        <is>
          <t>2023</t>
        </is>
      </c>
      <c r="B13" s="13" t="n">
        <v>0.2621</v>
      </c>
      <c r="C13" s="14" t="n">
        <v>0.1397</v>
      </c>
      <c r="D13" s="8">
        <f>C13-B13</f>
        <v/>
      </c>
      <c r="E13" t="inlineStr">
        <is>
          <t>✓ Yahoo Finance</t>
        </is>
      </c>
    </row>
    <row r="14">
      <c r="A14" t="inlineStr">
        <is>
          <t>2024</t>
        </is>
      </c>
      <c r="B14" s="13" t="n">
        <v>0.2506</v>
      </c>
      <c r="C14" s="14" t="n">
        <v>0.3256</v>
      </c>
      <c r="D14" s="8">
        <f>C14-B14</f>
        <v/>
      </c>
      <c r="E14" t="inlineStr">
        <is>
          <t>✓ Yahoo Finance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2" customWidth="1" min="3" max="3"/>
    <col width="24" customWidth="1" min="4" max="4"/>
    <col width="28" customWidth="1" min="5" max="5"/>
  </cols>
  <sheetData>
    <row r="1">
      <c r="A1" s="1" t="inlineStr">
        <is>
          <t>═══ DATA LINEAGE / AUDIT TRAIL ═══</t>
        </is>
      </c>
    </row>
    <row r="2"/>
    <row r="3">
      <c r="A3" t="inlineStr">
        <is>
          <t>This document traces the flow of data from source to final output.</t>
        </is>
      </c>
    </row>
    <row r="4"/>
    <row r="5">
      <c r="A5" s="15" t="inlineStr">
        <is>
          <t>Step</t>
        </is>
      </c>
      <c r="B5" s="15" t="inlineStr">
        <is>
          <t>Data Element</t>
        </is>
      </c>
      <c r="C5" s="15" t="inlineStr">
        <is>
          <t>Source</t>
        </is>
      </c>
      <c r="D5" s="15" t="inlineStr">
        <is>
          <t>Transformation</t>
        </is>
      </c>
      <c r="E5" s="15" t="inlineStr">
        <is>
          <t>Destination</t>
        </is>
      </c>
    </row>
    <row r="6">
      <c r="A6" s="16" t="n">
        <v>1</v>
      </c>
      <c r="B6" s="16" t="inlineStr">
        <is>
          <t>Raw Holdings CSV</t>
        </is>
      </c>
      <c r="C6" s="16" t="inlineStr">
        <is>
          <t>Client Upload</t>
        </is>
      </c>
      <c r="D6" s="16" t="inlineStr">
        <is>
          <t>None (preserved)</t>
        </is>
      </c>
      <c r="E6" s="16" t="inlineStr">
        <is>
          <t>Sheet 1: Source_Data</t>
        </is>
      </c>
    </row>
    <row r="7">
      <c r="A7" s="16" t="n">
        <v>2</v>
      </c>
      <c r="B7" s="16" t="inlineStr">
        <is>
          <t>Monthly Valuations</t>
        </is>
      </c>
      <c r="C7" s="16" t="inlineStr">
        <is>
          <t>Client CSV</t>
        </is>
      </c>
      <c r="D7" s="16" t="inlineStr">
        <is>
          <t>Parse &amp; validate dates</t>
        </is>
      </c>
      <c r="E7" s="16" t="inlineStr">
        <is>
          <t>Sheet 1: Source_Data</t>
        </is>
      </c>
    </row>
    <row r="8">
      <c r="A8" s="16" t="n">
        <v>3</v>
      </c>
      <c r="B8" s="16" t="inlineStr">
        <is>
          <t>Monthly Returns</t>
        </is>
      </c>
      <c r="C8" s="16" t="inlineStr">
        <is>
          <t>Client CSV</t>
        </is>
      </c>
      <c r="D8" s="16" t="inlineStr">
        <is>
          <t>Convert % to decimal</t>
        </is>
      </c>
      <c r="E8" s="16" t="inlineStr">
        <is>
          <t>Sheet 2: TWR_Calculation</t>
        </is>
      </c>
    </row>
    <row r="9">
      <c r="A9" s="16" t="n">
        <v>4</v>
      </c>
      <c r="B9" s="16" t="inlineStr">
        <is>
          <t>Annual Returns</t>
        </is>
      </c>
      <c r="C9" s="16" t="inlineStr">
        <is>
          <t>Monthly Returns</t>
        </is>
      </c>
      <c r="D9" s="16" t="inlineStr">
        <is>
          <t>Compound: ∏(1+r)-1</t>
        </is>
      </c>
      <c r="E9" s="16" t="inlineStr">
        <is>
          <t>Sheet 2: TWR_Calculation</t>
        </is>
      </c>
    </row>
    <row r="10">
      <c r="A10" s="16" t="n">
        <v>5</v>
      </c>
      <c r="B10" s="16" t="inlineStr">
        <is>
          <t>Cumulative Return</t>
        </is>
      </c>
      <c r="C10" s="16" t="inlineStr">
        <is>
          <t>Monthly Returns</t>
        </is>
      </c>
      <c r="D10" s="16" t="inlineStr">
        <is>
          <t>Compound all periods</t>
        </is>
      </c>
      <c r="E10" s="16" t="inlineStr">
        <is>
          <t>Sheet 2: TWR_Calculation</t>
        </is>
      </c>
    </row>
    <row r="11">
      <c r="A11" s="16" t="n">
        <v>6</v>
      </c>
      <c r="B11" s="16" t="inlineStr">
        <is>
          <t>Annualized Return</t>
        </is>
      </c>
      <c r="C11" s="16" t="inlineStr">
        <is>
          <t>Cumulative Return</t>
        </is>
      </c>
      <c r="D11" s="16" t="inlineStr">
        <is>
          <t>(1+cum)^(12/n)-1</t>
        </is>
      </c>
      <c r="E11" s="16" t="inlineStr">
        <is>
          <t>Sheet 3: Annualized_Return</t>
        </is>
      </c>
    </row>
    <row r="12">
      <c r="A12" s="16" t="n">
        <v>7</v>
      </c>
      <c r="B12" s="16" t="inlineStr">
        <is>
          <t>Benchmark Returns</t>
        </is>
      </c>
      <c r="C12" s="16" t="inlineStr">
        <is>
          <t>Yahoo Finance API</t>
        </is>
      </c>
      <c r="D12" s="16" t="inlineStr">
        <is>
          <t>LIVE fetch by year</t>
        </is>
      </c>
      <c r="E12" s="16" t="inlineStr">
        <is>
          <t>Sheet 5: Benchmark_Source</t>
        </is>
      </c>
    </row>
    <row r="13">
      <c r="A13" s="16" t="n">
        <v>8</v>
      </c>
      <c r="B13" s="16" t="inlineStr">
        <is>
          <t>Risk-Free Rate</t>
        </is>
      </c>
      <c r="C13" s="16" t="inlineStr">
        <is>
          <t>Yahoo Finance (^IRX)</t>
        </is>
      </c>
      <c r="D13" s="16" t="inlineStr">
        <is>
          <t>LIVE fetch</t>
        </is>
      </c>
      <c r="E13" s="16" t="inlineStr">
        <is>
          <t>Sheet 4: Risk_Metrics</t>
        </is>
      </c>
    </row>
    <row r="14">
      <c r="A14" s="16" t="n">
        <v>9</v>
      </c>
      <c r="B14" s="16" t="inlineStr">
        <is>
          <t>Volatility</t>
        </is>
      </c>
      <c r="C14" s="16" t="inlineStr">
        <is>
          <t>Monthly Returns</t>
        </is>
      </c>
      <c r="D14" s="16" t="inlineStr">
        <is>
          <t>StdDev × √12</t>
        </is>
      </c>
      <c r="E14" s="16" t="inlineStr">
        <is>
          <t>Sheet 4: Risk_Metrics</t>
        </is>
      </c>
    </row>
    <row r="15">
      <c r="A15" s="16" t="n">
        <v>10</v>
      </c>
      <c r="B15" s="16" t="inlineStr">
        <is>
          <t>Sharpe Ratio</t>
        </is>
      </c>
      <c r="C15" s="16" t="inlineStr">
        <is>
          <t>Multiple inputs</t>
        </is>
      </c>
      <c r="D15" s="16" t="inlineStr">
        <is>
          <t>(Return-Rf)/Vol</t>
        </is>
      </c>
      <c r="E15" s="16" t="inlineStr">
        <is>
          <t>Sheet 4: Risk_Metrics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27" customWidth="1" min="4" max="4"/>
  </cols>
  <sheetData>
    <row r="1">
      <c r="A1" s="1" t="inlineStr">
        <is>
          <t>═══ GIPS 2020 COMPLIANCE CHECKLIST ═══</t>
        </is>
      </c>
    </row>
    <row r="2"/>
    <row r="3">
      <c r="A3" s="15" t="inlineStr">
        <is>
          <t>Requirement</t>
        </is>
      </c>
      <c r="B3" s="15" t="inlineStr">
        <is>
          <t>GIPS Section</t>
        </is>
      </c>
      <c r="C3" s="15" t="inlineStr">
        <is>
          <t>Status</t>
        </is>
      </c>
      <c r="D3" s="15" t="inlineStr">
        <is>
          <t>Evidence</t>
        </is>
      </c>
    </row>
    <row r="4">
      <c r="A4" s="16" t="inlineStr">
        <is>
          <t>Time-weighted returns</t>
        </is>
      </c>
      <c r="B4" s="16" t="inlineStr">
        <is>
          <t>2.A.32</t>
        </is>
      </c>
      <c r="C4" s="17" t="inlineStr">
        <is>
          <t>✓ Compliant</t>
        </is>
      </c>
      <c r="D4" s="16" t="inlineStr">
        <is>
          <t>Sheet 2: TWR_Calculation</t>
        </is>
      </c>
    </row>
    <row r="5">
      <c r="A5" s="16" t="inlineStr">
        <is>
          <t>Returns calculated after transaction costs</t>
        </is>
      </c>
      <c r="B5" s="16" t="inlineStr">
        <is>
          <t>2.A.34</t>
        </is>
      </c>
      <c r="C5" s="17" t="inlineStr">
        <is>
          <t>✓ Compliant</t>
        </is>
      </c>
      <c r="D5" s="16" t="inlineStr">
        <is>
          <t>Net returns shown</t>
        </is>
      </c>
    </row>
    <row r="6">
      <c r="A6" s="16" t="inlineStr">
        <is>
          <t>Composite returns are asset-weighted</t>
        </is>
      </c>
      <c r="B6" s="16" t="inlineStr">
        <is>
          <t>2.A.33</t>
        </is>
      </c>
      <c r="C6" s="17" t="inlineStr">
        <is>
          <t>✓ Compliant</t>
        </is>
      </c>
      <c r="D6" s="16" t="inlineStr">
        <is>
          <t>Methodology documented</t>
        </is>
      </c>
    </row>
    <row r="7">
      <c r="A7" s="16" t="inlineStr">
        <is>
          <t>All fee-paying discretionary portfolios included</t>
        </is>
      </c>
      <c r="B7" s="16" t="inlineStr">
        <is>
          <t>5.A.1</t>
        </is>
      </c>
      <c r="C7" s="18" t="inlineStr">
        <is>
          <t>Verify with client</t>
        </is>
      </c>
      <c r="D7" s="16" t="inlineStr">
        <is>
          <t>Client attestation needed</t>
        </is>
      </c>
    </row>
    <row r="8">
      <c r="A8" s="16" t="inlineStr">
        <is>
          <t>Benchmark appropriate and disclosed</t>
        </is>
      </c>
      <c r="B8" s="16" t="inlineStr">
        <is>
          <t>5.A.8</t>
        </is>
      </c>
      <c r="C8" s="17" t="inlineStr">
        <is>
          <t>✓ Compliant</t>
        </is>
      </c>
      <c r="D8" s="16" t="inlineStr">
        <is>
          <t>Sheet 5: Benchmark_Source</t>
        </is>
      </c>
    </row>
    <row r="9">
      <c r="A9" s="16" t="inlineStr">
        <is>
          <t>Three-year annualized standard deviation</t>
        </is>
      </c>
      <c r="B9" s="16" t="inlineStr">
        <is>
          <t>5.A.2</t>
        </is>
      </c>
      <c r="C9" s="17" t="inlineStr">
        <is>
          <t>✓ Compliant</t>
        </is>
      </c>
      <c r="D9" s="16" t="inlineStr">
        <is>
          <t>Sheet 4: Risk_Metrics</t>
        </is>
      </c>
    </row>
    <row r="10">
      <c r="A10" s="16" t="inlineStr">
        <is>
          <t>Policies and procedures documented</t>
        </is>
      </c>
      <c r="B10" s="16" t="inlineStr">
        <is>
          <t>1.A.1</t>
        </is>
      </c>
      <c r="C10" s="17" t="inlineStr">
        <is>
          <t>✓ Compliant</t>
        </is>
      </c>
      <c r="D10" s="16" t="inlineStr">
        <is>
          <t>Methodology PDF</t>
        </is>
      </c>
    </row>
    <row r="11">
      <c r="A11" s="16" t="inlineStr">
        <is>
          <t>Data integrity maintained</t>
        </is>
      </c>
      <c r="B11" s="16" t="inlineStr">
        <is>
          <t>Best Practice</t>
        </is>
      </c>
      <c r="C11" s="17" t="inlineStr">
        <is>
          <t>✓ Compliant</t>
        </is>
      </c>
      <c r="D11" s="16" t="inlineStr">
        <is>
          <t>Sheet 6: Data_Lineage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2026-01-21T11:19:44Z</dcterms:created>
  <dcterms:modified xsi:type="dcterms:W3CDTF">2026-01-21T11:19:44Z</dcterms:modified>
</cp:coreProperties>
</file>